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ingkasan Bulanan" sheetId="3" state="visible" r:id="rId3"/>
  </sheets>
  <definedNames>
    <definedName name="_xlnm.Print_Area" localSheetId="0">'Dashboard'!$A$1:$L$59</definedName>
    <definedName name="_xlnm._FilterDatabase" localSheetId="1" hidden="1">'Data'!$A$1:$G$366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dd-mmm-yyyy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  <sz val="10"/>
    </font>
    <font>
      <b val="1"/>
      <color rgb="00FFFFFF"/>
      <sz val="10"/>
    </font>
    <font>
      <b val="1"/>
      <color rgb="0017365D"/>
      <sz val="18"/>
    </font>
    <font>
      <b val="1"/>
      <color rgb="0017365D"/>
      <sz val="12"/>
    </font>
    <font>
      <i val="1"/>
      <color rgb="009C0006"/>
      <sz val="10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9FC"/>
      </patternFill>
    </fill>
    <fill>
      <patternFill patternType="solid">
        <fgColor rgb="000F6B78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hair">
        <color rgb="00E7E6E6"/>
      </bottom>
    </border>
    <border>
      <bottom style="thin">
        <color rgb="00D9E1F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6" borderId="0" applyAlignment="1" pivotButton="0" quotePrefix="0" xfId="0">
      <alignment horizontal="center" wrapText="1"/>
    </xf>
    <xf numFmtId="0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7" fillId="7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166" fontId="0" fillId="3" borderId="1" pivotButton="0" quotePrefix="0" xfId="0"/>
    <xf numFmtId="0" fontId="0" fillId="3" borderId="1" pivotButton="0" quotePrefix="0" xfId="0"/>
    <xf numFmtId="166" fontId="0" fillId="0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wrapText="1"/>
    </xf>
    <xf numFmtId="164" fontId="5" fillId="5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4" fontId="0" fillId="3" borderId="2" pivotButton="0" quotePrefix="0" xfId="0"/>
    <xf numFmtId="165" fontId="0" fillId="3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8" fillId="0" borderId="0" applyAlignment="1" pivotButton="0" quotePrefix="0" xfId="0">
      <alignment horizontal="left" vertical="center" wrapText="1"/>
    </xf>
    <xf numFmtId="166" fontId="0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Curah Hujan per Bulan</a:t>
            </a:r>
          </a:p>
        </rich>
      </tx>
    </title>
    <plotArea>
      <lineChart>
        <grouping val="standard"/>
        <ser>
          <idx val="0"/>
          <order val="0"/>
          <tx>
            <strRef>
              <f>'Ringkasan Bulanan'!B1</f>
            </strRef>
          </tx>
          <spPr>
            <a:ln xmlns:a="http://schemas.openxmlformats.org/drawingml/2006/main" w="26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'Ringkasan Bulanan'!$A$2:$A$13</f>
            </numRef>
          </cat>
          <val>
            <numRef>
              <f>'Ringkasan Bulanan'!$B$2:$B$13</f>
            </numRef>
          </val>
        </ser>
        <smooth val="0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Curah hujan (mm)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Jumlah Hari Hujan per Bulan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 Bulanan'!E1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'Ringkasan Bulanan'!$A$2:$A$13</f>
            </numRef>
          </cat>
          <val>
            <numRef>
              <f>'Ringkasan Bulanan'!$E$2:$E$13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Hari hujan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Rata-rata Suhu Bulanan</a:t>
            </a:r>
          </a:p>
        </rich>
      </tx>
    </title>
    <plotArea>
      <lineChart>
        <grouping val="standard"/>
        <ser>
          <idx val="0"/>
          <order val="0"/>
          <tx>
            <strRef>
              <f>'Ringkasan Bulanan'!C1</f>
            </strRef>
          </tx>
          <spPr>
            <a:ln xmlns:a="http://schemas.openxmlformats.org/drawingml/2006/main" w="26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'Ringkasan Bulanan'!$A$2:$A$13</f>
            </numRef>
          </cat>
          <val>
            <numRef>
              <f>'Ringkasan Bulanan'!$C$2:$C$13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Suhu (°C)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2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52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52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9"/>
  <sheetViews>
    <sheetView showGridLines="0" zoomScale="85"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0" customWidth="1" min="3" max="3"/>
    <col width="20" customWidth="1" min="4" max="4"/>
    <col width="15" customWidth="1" min="5" max="5"/>
    <col width="23" customWidth="1" min="6" max="6"/>
    <col width="19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DASHBOARD CURAH HUJAN &amp; KONDISI ATMOSFER</t>
        </is>
      </c>
    </row>
    <row r="2">
      <c r="A2" s="2" t="inlineStr">
        <is>
          <t>Parepare | Periode 1 Januari–31 Desember 2025 | Dataset simulasi untuk latihan analisis</t>
        </is>
      </c>
    </row>
    <row r="4" ht="24" customHeight="1">
      <c r="A4" s="3" t="inlineStr">
        <is>
          <t>TOTAL CURAH HUJAN (mm)</t>
        </is>
      </c>
      <c r="D4" s="3" t="inlineStr">
        <is>
          <t>RATA-RATA SUHU (°C)</t>
        </is>
      </c>
      <c r="G4" s="3" t="inlineStr">
        <is>
          <t>RATA-RATA KELEMBAPAN (%)</t>
        </is>
      </c>
      <c r="J4" s="3" t="inlineStr">
        <is>
          <t>HARI HUJAN</t>
        </is>
      </c>
    </row>
    <row r="5" ht="24" customHeight="1">
      <c r="A5" s="22">
        <f>SUM(Data!C2:C366)</f>
        <v/>
      </c>
      <c r="D5" s="23">
        <f>AVERAGE(Data!D2:D366)</f>
        <v/>
      </c>
      <c r="G5" s="23">
        <f>AVERAGE(Data!E2:E366)</f>
        <v/>
      </c>
      <c r="J5" s="6">
        <f>COUNTIF(Data!C2:C366,"&gt;0")</f>
        <v/>
      </c>
    </row>
    <row r="6" ht="20" customHeight="1"/>
    <row r="8">
      <c r="A8" s="7" t="inlineStr">
        <is>
          <t>RINGKASAN BULANAN</t>
        </is>
      </c>
    </row>
    <row r="9">
      <c r="A9" s="8" t="inlineStr">
        <is>
          <t>Bulan</t>
        </is>
      </c>
      <c r="B9" s="8" t="inlineStr">
        <is>
          <t>Total Curah Hujan (mm)</t>
        </is>
      </c>
      <c r="C9" s="8" t="inlineStr">
        <is>
          <t>Rata-rata Suhu (°C)</t>
        </is>
      </c>
      <c r="D9" s="8" t="inlineStr">
        <is>
          <t>Rata-rata Kelembapan (%)</t>
        </is>
      </c>
      <c r="E9" s="8" t="inlineStr">
        <is>
          <t>Hari Hujan</t>
        </is>
      </c>
      <c r="F9" s="8" t="inlineStr">
        <is>
          <t>Curah Hujan Maksimum (mm)</t>
        </is>
      </c>
    </row>
    <row r="10">
      <c r="A10" s="9">
        <f>'Ringkasan Bulanan'!A2</f>
        <v/>
      </c>
      <c r="B10" s="24">
        <f>'Ringkasan Bulanan'!B2</f>
        <v/>
      </c>
      <c r="C10" s="25">
        <f>'Ringkasan Bulanan'!C2</f>
        <v/>
      </c>
      <c r="D10" s="25">
        <f>'Ringkasan Bulanan'!D2</f>
        <v/>
      </c>
      <c r="E10" s="9">
        <f>'Ringkasan Bulanan'!E2</f>
        <v/>
      </c>
      <c r="F10" s="25">
        <f>'Ringkasan Bulanan'!F2</f>
        <v/>
      </c>
    </row>
    <row r="11">
      <c r="A11" s="12">
        <f>'Ringkasan Bulanan'!A3</f>
        <v/>
      </c>
      <c r="B11" s="26">
        <f>'Ringkasan Bulanan'!B3</f>
        <v/>
      </c>
      <c r="C11" s="27">
        <f>'Ringkasan Bulanan'!C3</f>
        <v/>
      </c>
      <c r="D11" s="27">
        <f>'Ringkasan Bulanan'!D3</f>
        <v/>
      </c>
      <c r="E11" s="12">
        <f>'Ringkasan Bulanan'!E3</f>
        <v/>
      </c>
      <c r="F11" s="27">
        <f>'Ringkasan Bulanan'!F3</f>
        <v/>
      </c>
    </row>
    <row r="12">
      <c r="A12" s="9">
        <f>'Ringkasan Bulanan'!A4</f>
        <v/>
      </c>
      <c r="B12" s="24">
        <f>'Ringkasan Bulanan'!B4</f>
        <v/>
      </c>
      <c r="C12" s="25">
        <f>'Ringkasan Bulanan'!C4</f>
        <v/>
      </c>
      <c r="D12" s="25">
        <f>'Ringkasan Bulanan'!D4</f>
        <v/>
      </c>
      <c r="E12" s="9">
        <f>'Ringkasan Bulanan'!E4</f>
        <v/>
      </c>
      <c r="F12" s="25">
        <f>'Ringkasan Bulanan'!F4</f>
        <v/>
      </c>
    </row>
    <row r="13">
      <c r="A13" s="12">
        <f>'Ringkasan Bulanan'!A5</f>
        <v/>
      </c>
      <c r="B13" s="26">
        <f>'Ringkasan Bulanan'!B5</f>
        <v/>
      </c>
      <c r="C13" s="27">
        <f>'Ringkasan Bulanan'!C5</f>
        <v/>
      </c>
      <c r="D13" s="27">
        <f>'Ringkasan Bulanan'!D5</f>
        <v/>
      </c>
      <c r="E13" s="12">
        <f>'Ringkasan Bulanan'!E5</f>
        <v/>
      </c>
      <c r="F13" s="27">
        <f>'Ringkasan Bulanan'!F5</f>
        <v/>
      </c>
    </row>
    <row r="14">
      <c r="A14" s="9">
        <f>'Ringkasan Bulanan'!A6</f>
        <v/>
      </c>
      <c r="B14" s="24">
        <f>'Ringkasan Bulanan'!B6</f>
        <v/>
      </c>
      <c r="C14" s="25">
        <f>'Ringkasan Bulanan'!C6</f>
        <v/>
      </c>
      <c r="D14" s="25">
        <f>'Ringkasan Bulanan'!D6</f>
        <v/>
      </c>
      <c r="E14" s="9">
        <f>'Ringkasan Bulanan'!E6</f>
        <v/>
      </c>
      <c r="F14" s="25">
        <f>'Ringkasan Bulanan'!F6</f>
        <v/>
      </c>
    </row>
    <row r="15">
      <c r="A15" s="12">
        <f>'Ringkasan Bulanan'!A7</f>
        <v/>
      </c>
      <c r="B15" s="26">
        <f>'Ringkasan Bulanan'!B7</f>
        <v/>
      </c>
      <c r="C15" s="27">
        <f>'Ringkasan Bulanan'!C7</f>
        <v/>
      </c>
      <c r="D15" s="27">
        <f>'Ringkasan Bulanan'!D7</f>
        <v/>
      </c>
      <c r="E15" s="12">
        <f>'Ringkasan Bulanan'!E7</f>
        <v/>
      </c>
      <c r="F15" s="27">
        <f>'Ringkasan Bulanan'!F7</f>
        <v/>
      </c>
    </row>
    <row r="16">
      <c r="A16" s="9">
        <f>'Ringkasan Bulanan'!A8</f>
        <v/>
      </c>
      <c r="B16" s="24">
        <f>'Ringkasan Bulanan'!B8</f>
        <v/>
      </c>
      <c r="C16" s="25">
        <f>'Ringkasan Bulanan'!C8</f>
        <v/>
      </c>
      <c r="D16" s="25">
        <f>'Ringkasan Bulanan'!D8</f>
        <v/>
      </c>
      <c r="E16" s="9">
        <f>'Ringkasan Bulanan'!E8</f>
        <v/>
      </c>
      <c r="F16" s="25">
        <f>'Ringkasan Bulanan'!F8</f>
        <v/>
      </c>
    </row>
    <row r="17">
      <c r="A17" s="12">
        <f>'Ringkasan Bulanan'!A9</f>
        <v/>
      </c>
      <c r="B17" s="26">
        <f>'Ringkasan Bulanan'!B9</f>
        <v/>
      </c>
      <c r="C17" s="27">
        <f>'Ringkasan Bulanan'!C9</f>
        <v/>
      </c>
      <c r="D17" s="27">
        <f>'Ringkasan Bulanan'!D9</f>
        <v/>
      </c>
      <c r="E17" s="12">
        <f>'Ringkasan Bulanan'!E9</f>
        <v/>
      </c>
      <c r="F17" s="27">
        <f>'Ringkasan Bulanan'!F9</f>
        <v/>
      </c>
    </row>
    <row r="18">
      <c r="A18" s="9">
        <f>'Ringkasan Bulanan'!A10</f>
        <v/>
      </c>
      <c r="B18" s="24">
        <f>'Ringkasan Bulanan'!B10</f>
        <v/>
      </c>
      <c r="C18" s="25">
        <f>'Ringkasan Bulanan'!C10</f>
        <v/>
      </c>
      <c r="D18" s="25">
        <f>'Ringkasan Bulanan'!D10</f>
        <v/>
      </c>
      <c r="E18" s="9">
        <f>'Ringkasan Bulanan'!E10</f>
        <v/>
      </c>
      <c r="F18" s="25">
        <f>'Ringkasan Bulanan'!F10</f>
        <v/>
      </c>
    </row>
    <row r="19">
      <c r="A19" s="12">
        <f>'Ringkasan Bulanan'!A11</f>
        <v/>
      </c>
      <c r="B19" s="26">
        <f>'Ringkasan Bulanan'!B11</f>
        <v/>
      </c>
      <c r="C19" s="27">
        <f>'Ringkasan Bulanan'!C11</f>
        <v/>
      </c>
      <c r="D19" s="27">
        <f>'Ringkasan Bulanan'!D11</f>
        <v/>
      </c>
      <c r="E19" s="12">
        <f>'Ringkasan Bulanan'!E11</f>
        <v/>
      </c>
      <c r="F19" s="27">
        <f>'Ringkasan Bulanan'!F11</f>
        <v/>
      </c>
    </row>
    <row r="20">
      <c r="A20" s="9">
        <f>'Ringkasan Bulanan'!A12</f>
        <v/>
      </c>
      <c r="B20" s="24">
        <f>'Ringkasan Bulanan'!B12</f>
        <v/>
      </c>
      <c r="C20" s="25">
        <f>'Ringkasan Bulanan'!C12</f>
        <v/>
      </c>
      <c r="D20" s="25">
        <f>'Ringkasan Bulanan'!D12</f>
        <v/>
      </c>
      <c r="E20" s="9">
        <f>'Ringkasan Bulanan'!E12</f>
        <v/>
      </c>
      <c r="F20" s="25">
        <f>'Ringkasan Bulanan'!F12</f>
        <v/>
      </c>
    </row>
    <row r="21">
      <c r="A21" s="12">
        <f>'Ringkasan Bulanan'!A13</f>
        <v/>
      </c>
      <c r="B21" s="26">
        <f>'Ringkasan Bulanan'!B13</f>
        <v/>
      </c>
      <c r="C21" s="27">
        <f>'Ringkasan Bulanan'!C13</f>
        <v/>
      </c>
      <c r="D21" s="27">
        <f>'Ringkasan Bulanan'!D13</f>
        <v/>
      </c>
      <c r="E21" s="12">
        <f>'Ringkasan Bulanan'!E13</f>
        <v/>
      </c>
      <c r="F21" s="27">
        <f>'Ringkasan Bulanan'!F13</f>
        <v/>
      </c>
    </row>
    <row r="40" ht="25" customHeight="1">
      <c r="A40" s="15" t="inlineStr">
        <is>
          <t>Catatan: seluruh data harian pada file ini merupakan DATA SIMULASI, bukan pengamatan resmi BMKG. Gunakan untuk latihan pembuatan dashboard; jangan menyajikannya sebagai data observasi nyata.</t>
        </is>
      </c>
    </row>
    <row r="41" ht="20" customHeight="1"/>
    <row r="58" ht="24" customHeight="1">
      <c r="A58" s="28" t="inlineStr">
        <is>
          <t>Catatan: Dataset curah hujan dan kondisi atmosfer ini merupakan data simulasi untuk latihan analisis, bukan data observasi resmi.</t>
        </is>
      </c>
    </row>
    <row r="59" ht="18" customHeight="1"/>
  </sheetData>
  <mergeCells count="11">
    <mergeCell ref="A2:L2"/>
    <mergeCell ref="A58:L59"/>
    <mergeCell ref="D5:F6"/>
    <mergeCell ref="A5:C6"/>
    <mergeCell ref="G5:I6"/>
    <mergeCell ref="A1:L1"/>
    <mergeCell ref="D4:F4"/>
    <mergeCell ref="J5:L6"/>
    <mergeCell ref="G4:I4"/>
    <mergeCell ref="J4:L4"/>
    <mergeCell ref="A4:C4"/>
  </mergeCells>
  <pageMargins left="0.25" right="0.25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0" customWidth="1" min="4" max="4"/>
    <col width="20" customWidth="1" min="5" max="5"/>
    <col width="27" customWidth="1" min="6" max="6"/>
    <col width="20" customWidth="1" min="7" max="7"/>
  </cols>
  <sheetData>
    <row r="1" ht="32" customHeight="1">
      <c r="A1" s="16" t="inlineStr">
        <is>
          <t>Tanggal</t>
        </is>
      </c>
      <c r="B1" s="16" t="inlineStr">
        <is>
          <t>Lokasi</t>
        </is>
      </c>
      <c r="C1" s="16" t="inlineStr">
        <is>
          <t>Curah Hujan (mm)</t>
        </is>
      </c>
      <c r="D1" s="16" t="inlineStr">
        <is>
          <t>Suhu Udara (°C)</t>
        </is>
      </c>
      <c r="E1" s="16" t="inlineStr">
        <is>
          <t>Kelembapan (%)</t>
        </is>
      </c>
      <c r="F1" s="16" t="inlineStr">
        <is>
          <t>Kecepatan Angin (m/s)</t>
        </is>
      </c>
      <c r="G1" s="16" t="inlineStr">
        <is>
          <t>Kategori Hujan</t>
        </is>
      </c>
    </row>
    <row r="2">
      <c r="A2" s="29" t="n">
        <v>45658</v>
      </c>
      <c r="B2" s="18" t="inlineStr">
        <is>
          <t>Parepare</t>
        </is>
      </c>
      <c r="C2" s="18" t="n">
        <v>0</v>
      </c>
      <c r="D2" s="18" t="n">
        <v>27.6</v>
      </c>
      <c r="E2" s="18" t="n">
        <v>79</v>
      </c>
      <c r="F2" s="18" t="n">
        <v>1.9</v>
      </c>
      <c r="G2" s="18" t="inlineStr">
        <is>
          <t>Tidak hujan</t>
        </is>
      </c>
    </row>
    <row r="3">
      <c r="A3" s="30" t="n">
        <v>45659</v>
      </c>
      <c r="B3" s="20" t="inlineStr">
        <is>
          <t>Parepare</t>
        </is>
      </c>
      <c r="C3" s="20" t="n">
        <v>4</v>
      </c>
      <c r="D3" s="20" t="n">
        <v>26.5</v>
      </c>
      <c r="E3" s="20" t="n">
        <v>73</v>
      </c>
      <c r="F3" s="20" t="n">
        <v>2.1</v>
      </c>
      <c r="G3" s="20" t="inlineStr">
        <is>
          <t>Ringan</t>
        </is>
      </c>
    </row>
    <row r="4">
      <c r="A4" s="29" t="n">
        <v>45660</v>
      </c>
      <c r="B4" s="18" t="inlineStr">
        <is>
          <t>Parepare</t>
        </is>
      </c>
      <c r="C4" s="18" t="n">
        <v>0</v>
      </c>
      <c r="D4" s="18" t="n">
        <v>27.8</v>
      </c>
      <c r="E4" s="18" t="n">
        <v>76</v>
      </c>
      <c r="F4" s="18" t="n">
        <v>3.9</v>
      </c>
      <c r="G4" s="18" t="inlineStr">
        <is>
          <t>Tidak hujan</t>
        </is>
      </c>
    </row>
    <row r="5">
      <c r="A5" s="30" t="n">
        <v>45661</v>
      </c>
      <c r="B5" s="20" t="inlineStr">
        <is>
          <t>Parepare</t>
        </is>
      </c>
      <c r="C5" s="20" t="n">
        <v>10.6</v>
      </c>
      <c r="D5" s="20" t="n">
        <v>24.7</v>
      </c>
      <c r="E5" s="20" t="n">
        <v>79</v>
      </c>
      <c r="F5" s="20" t="n">
        <v>2.7</v>
      </c>
      <c r="G5" s="20" t="inlineStr">
        <is>
          <t>Sedang</t>
        </is>
      </c>
    </row>
    <row r="6">
      <c r="A6" s="29" t="n">
        <v>45662</v>
      </c>
      <c r="B6" s="18" t="inlineStr">
        <is>
          <t>Parepare</t>
        </is>
      </c>
      <c r="C6" s="18" t="n">
        <v>56.4</v>
      </c>
      <c r="D6" s="18" t="n">
        <v>27.3</v>
      </c>
      <c r="E6" s="18" t="n">
        <v>90</v>
      </c>
      <c r="F6" s="18" t="n">
        <v>3.5</v>
      </c>
      <c r="G6" s="18" t="inlineStr">
        <is>
          <t>Lebat</t>
        </is>
      </c>
    </row>
    <row r="7">
      <c r="A7" s="30" t="n">
        <v>45663</v>
      </c>
      <c r="B7" s="20" t="inlineStr">
        <is>
          <t>Parepare</t>
        </is>
      </c>
      <c r="C7" s="20" t="n">
        <v>0</v>
      </c>
      <c r="D7" s="20" t="n">
        <v>25.2</v>
      </c>
      <c r="E7" s="20" t="n">
        <v>63</v>
      </c>
      <c r="F7" s="20" t="n">
        <v>2.7</v>
      </c>
      <c r="G7" s="20" t="inlineStr">
        <is>
          <t>Tidak hujan</t>
        </is>
      </c>
    </row>
    <row r="8">
      <c r="A8" s="29" t="n">
        <v>45664</v>
      </c>
      <c r="B8" s="18" t="inlineStr">
        <is>
          <t>Parepare</t>
        </is>
      </c>
      <c r="C8" s="18" t="n">
        <v>0</v>
      </c>
      <c r="D8" s="18" t="n">
        <v>28</v>
      </c>
      <c r="E8" s="18" t="n">
        <v>70</v>
      </c>
      <c r="F8" s="18" t="n">
        <v>2.5</v>
      </c>
      <c r="G8" s="18" t="inlineStr">
        <is>
          <t>Tidak hujan</t>
        </is>
      </c>
    </row>
    <row r="9">
      <c r="A9" s="30" t="n">
        <v>45665</v>
      </c>
      <c r="B9" s="20" t="inlineStr">
        <is>
          <t>Parepare</t>
        </is>
      </c>
      <c r="C9" s="20" t="n">
        <v>23.3</v>
      </c>
      <c r="D9" s="20" t="n">
        <v>24.9</v>
      </c>
      <c r="E9" s="20" t="n">
        <v>73</v>
      </c>
      <c r="F9" s="20" t="n">
        <v>4.2</v>
      </c>
      <c r="G9" s="20" t="inlineStr">
        <is>
          <t>Lebat</t>
        </is>
      </c>
    </row>
    <row r="10">
      <c r="A10" s="29" t="n">
        <v>45666</v>
      </c>
      <c r="B10" s="18" t="inlineStr">
        <is>
          <t>Parepare</t>
        </is>
      </c>
      <c r="C10" s="18" t="n">
        <v>10.8</v>
      </c>
      <c r="D10" s="18" t="n">
        <v>27.7</v>
      </c>
      <c r="E10" s="18" t="n">
        <v>88</v>
      </c>
      <c r="F10" s="18" t="n">
        <v>3.1</v>
      </c>
      <c r="G10" s="18" t="inlineStr">
        <is>
          <t>Sedang</t>
        </is>
      </c>
    </row>
    <row r="11">
      <c r="A11" s="30" t="n">
        <v>45667</v>
      </c>
      <c r="B11" s="20" t="inlineStr">
        <is>
          <t>Parepare</t>
        </is>
      </c>
      <c r="C11" s="20" t="n">
        <v>2</v>
      </c>
      <c r="D11" s="20" t="n">
        <v>28</v>
      </c>
      <c r="E11" s="20" t="n">
        <v>72</v>
      </c>
      <c r="F11" s="20" t="n">
        <v>2.2</v>
      </c>
      <c r="G11" s="20" t="inlineStr">
        <is>
          <t>Ringan</t>
        </is>
      </c>
    </row>
    <row r="12">
      <c r="A12" s="29" t="n">
        <v>45668</v>
      </c>
      <c r="B12" s="18" t="inlineStr">
        <is>
          <t>Parepare</t>
        </is>
      </c>
      <c r="C12" s="18" t="n">
        <v>3.3</v>
      </c>
      <c r="D12" s="18" t="n">
        <v>28.1</v>
      </c>
      <c r="E12" s="18" t="n">
        <v>84</v>
      </c>
      <c r="F12" s="18" t="n">
        <v>3.1</v>
      </c>
      <c r="G12" s="18" t="inlineStr">
        <is>
          <t>Ringan</t>
        </is>
      </c>
    </row>
    <row r="13">
      <c r="A13" s="30" t="n">
        <v>45669</v>
      </c>
      <c r="B13" s="20" t="inlineStr">
        <is>
          <t>Parepare</t>
        </is>
      </c>
      <c r="C13" s="20" t="n">
        <v>0</v>
      </c>
      <c r="D13" s="20" t="n">
        <v>26.9</v>
      </c>
      <c r="E13" s="20" t="n">
        <v>77</v>
      </c>
      <c r="F13" s="20" t="n">
        <v>1.6</v>
      </c>
      <c r="G13" s="20" t="inlineStr">
        <is>
          <t>Tidak hujan</t>
        </is>
      </c>
    </row>
    <row r="14">
      <c r="A14" s="29" t="n">
        <v>45670</v>
      </c>
      <c r="B14" s="18" t="inlineStr">
        <is>
          <t>Parepare</t>
        </is>
      </c>
      <c r="C14" s="18" t="n">
        <v>0</v>
      </c>
      <c r="D14" s="18" t="n">
        <v>27.3</v>
      </c>
      <c r="E14" s="18" t="n">
        <v>77</v>
      </c>
      <c r="F14" s="18" t="n">
        <v>2.8</v>
      </c>
      <c r="G14" s="18" t="inlineStr">
        <is>
          <t>Tidak hujan</t>
        </is>
      </c>
    </row>
    <row r="15">
      <c r="A15" s="30" t="n">
        <v>45671</v>
      </c>
      <c r="B15" s="20" t="inlineStr">
        <is>
          <t>Parepare</t>
        </is>
      </c>
      <c r="C15" s="20" t="n">
        <v>10.3</v>
      </c>
      <c r="D15" s="20" t="n">
        <v>24.5</v>
      </c>
      <c r="E15" s="20" t="n">
        <v>81</v>
      </c>
      <c r="F15" s="20" t="n">
        <v>3</v>
      </c>
      <c r="G15" s="20" t="inlineStr">
        <is>
          <t>Sedang</t>
        </is>
      </c>
    </row>
    <row r="16">
      <c r="A16" s="29" t="n">
        <v>45672</v>
      </c>
      <c r="B16" s="18" t="inlineStr">
        <is>
          <t>Parepare</t>
        </is>
      </c>
      <c r="C16" s="18" t="n">
        <v>0</v>
      </c>
      <c r="D16" s="18" t="n">
        <v>26.9</v>
      </c>
      <c r="E16" s="18" t="n">
        <v>64</v>
      </c>
      <c r="F16" s="18" t="n">
        <v>3.1</v>
      </c>
      <c r="G16" s="18" t="inlineStr">
        <is>
          <t>Tidak hujan</t>
        </is>
      </c>
    </row>
    <row r="17">
      <c r="A17" s="30" t="n">
        <v>45673</v>
      </c>
      <c r="B17" s="20" t="inlineStr">
        <is>
          <t>Parepare</t>
        </is>
      </c>
      <c r="C17" s="20" t="n">
        <v>0</v>
      </c>
      <c r="D17" s="20" t="n">
        <v>28.1</v>
      </c>
      <c r="E17" s="20" t="n">
        <v>66</v>
      </c>
      <c r="F17" s="20" t="n">
        <v>2</v>
      </c>
      <c r="G17" s="20" t="inlineStr">
        <is>
          <t>Tidak hujan</t>
        </is>
      </c>
    </row>
    <row r="18">
      <c r="A18" s="29" t="n">
        <v>45674</v>
      </c>
      <c r="B18" s="18" t="inlineStr">
        <is>
          <t>Parepare</t>
        </is>
      </c>
      <c r="C18" s="18" t="n">
        <v>0</v>
      </c>
      <c r="D18" s="18" t="n">
        <v>26.6</v>
      </c>
      <c r="E18" s="18" t="n">
        <v>65</v>
      </c>
      <c r="F18" s="18" t="n">
        <v>2.7</v>
      </c>
      <c r="G18" s="18" t="inlineStr">
        <is>
          <t>Tidak hujan</t>
        </is>
      </c>
    </row>
    <row r="19">
      <c r="A19" s="30" t="n">
        <v>45675</v>
      </c>
      <c r="B19" s="20" t="inlineStr">
        <is>
          <t>Parepare</t>
        </is>
      </c>
      <c r="C19" s="20" t="n">
        <v>3.3</v>
      </c>
      <c r="D19" s="20" t="n">
        <v>25.2</v>
      </c>
      <c r="E19" s="20" t="n">
        <v>79</v>
      </c>
      <c r="F19" s="20" t="n">
        <v>1.7</v>
      </c>
      <c r="G19" s="20" t="inlineStr">
        <is>
          <t>Ringan</t>
        </is>
      </c>
    </row>
    <row r="20">
      <c r="A20" s="29" t="n">
        <v>45676</v>
      </c>
      <c r="B20" s="18" t="inlineStr">
        <is>
          <t>Parepare</t>
        </is>
      </c>
      <c r="C20" s="18" t="n">
        <v>0</v>
      </c>
      <c r="D20" s="18" t="n">
        <v>28.9</v>
      </c>
      <c r="E20" s="18" t="n">
        <v>62</v>
      </c>
      <c r="F20" s="18" t="n">
        <v>2.9</v>
      </c>
      <c r="G20" s="18" t="inlineStr">
        <is>
          <t>Tidak hujan</t>
        </is>
      </c>
    </row>
    <row r="21">
      <c r="A21" s="30" t="n">
        <v>45677</v>
      </c>
      <c r="B21" s="20" t="inlineStr">
        <is>
          <t>Parepare</t>
        </is>
      </c>
      <c r="C21" s="20" t="n">
        <v>25.2</v>
      </c>
      <c r="D21" s="20" t="n">
        <v>27.4</v>
      </c>
      <c r="E21" s="20" t="n">
        <v>82</v>
      </c>
      <c r="F21" s="20" t="n">
        <v>3.1</v>
      </c>
      <c r="G21" s="20" t="inlineStr">
        <is>
          <t>Lebat</t>
        </is>
      </c>
    </row>
    <row r="22">
      <c r="A22" s="29" t="n">
        <v>45678</v>
      </c>
      <c r="B22" s="18" t="inlineStr">
        <is>
          <t>Parepare</t>
        </is>
      </c>
      <c r="C22" s="18" t="n">
        <v>0</v>
      </c>
      <c r="D22" s="18" t="n">
        <v>25.8</v>
      </c>
      <c r="E22" s="18" t="n">
        <v>75</v>
      </c>
      <c r="F22" s="18" t="n">
        <v>2.7</v>
      </c>
      <c r="G22" s="18" t="inlineStr">
        <is>
          <t>Tidak hujan</t>
        </is>
      </c>
    </row>
    <row r="23">
      <c r="A23" s="30" t="n">
        <v>45679</v>
      </c>
      <c r="B23" s="20" t="inlineStr">
        <is>
          <t>Parepare</t>
        </is>
      </c>
      <c r="C23" s="20" t="n">
        <v>11.8</v>
      </c>
      <c r="D23" s="20" t="n">
        <v>26.3</v>
      </c>
      <c r="E23" s="20" t="n">
        <v>87</v>
      </c>
      <c r="F23" s="20" t="n">
        <v>2.1</v>
      </c>
      <c r="G23" s="20" t="inlineStr">
        <is>
          <t>Sedang</t>
        </is>
      </c>
    </row>
    <row r="24">
      <c r="A24" s="29" t="n">
        <v>45680</v>
      </c>
      <c r="B24" s="18" t="inlineStr">
        <is>
          <t>Parepare</t>
        </is>
      </c>
      <c r="C24" s="18" t="n">
        <v>0</v>
      </c>
      <c r="D24" s="18" t="n">
        <v>25.5</v>
      </c>
      <c r="E24" s="18" t="n">
        <v>78</v>
      </c>
      <c r="F24" s="18" t="n">
        <v>1.2</v>
      </c>
      <c r="G24" s="18" t="inlineStr">
        <is>
          <t>Tidak hujan</t>
        </is>
      </c>
    </row>
    <row r="25">
      <c r="A25" s="30" t="n">
        <v>45681</v>
      </c>
      <c r="B25" s="20" t="inlineStr">
        <is>
          <t>Parepare</t>
        </is>
      </c>
      <c r="C25" s="20" t="n">
        <v>0</v>
      </c>
      <c r="D25" s="20" t="n">
        <v>25.6</v>
      </c>
      <c r="E25" s="20" t="n">
        <v>73</v>
      </c>
      <c r="F25" s="20" t="n">
        <v>0.4</v>
      </c>
      <c r="G25" s="20" t="inlineStr">
        <is>
          <t>Tidak hujan</t>
        </is>
      </c>
    </row>
    <row r="26">
      <c r="A26" s="29" t="n">
        <v>45682</v>
      </c>
      <c r="B26" s="18" t="inlineStr">
        <is>
          <t>Parepare</t>
        </is>
      </c>
      <c r="C26" s="18" t="n">
        <v>13.2</v>
      </c>
      <c r="D26" s="18" t="n">
        <v>24.8</v>
      </c>
      <c r="E26" s="18" t="n">
        <v>79</v>
      </c>
      <c r="F26" s="18" t="n">
        <v>1.2</v>
      </c>
      <c r="G26" s="18" t="inlineStr">
        <is>
          <t>Sedang</t>
        </is>
      </c>
    </row>
    <row r="27">
      <c r="A27" s="30" t="n">
        <v>45683</v>
      </c>
      <c r="B27" s="20" t="inlineStr">
        <is>
          <t>Parepare</t>
        </is>
      </c>
      <c r="C27" s="20" t="n">
        <v>1.8</v>
      </c>
      <c r="D27" s="20" t="n">
        <v>24.9</v>
      </c>
      <c r="E27" s="20" t="n">
        <v>71</v>
      </c>
      <c r="F27" s="20" t="n">
        <v>2.7</v>
      </c>
      <c r="G27" s="20" t="inlineStr">
        <is>
          <t>Ringan</t>
        </is>
      </c>
    </row>
    <row r="28">
      <c r="A28" s="29" t="n">
        <v>45684</v>
      </c>
      <c r="B28" s="18" t="inlineStr">
        <is>
          <t>Parepare</t>
        </is>
      </c>
      <c r="C28" s="18" t="n">
        <v>8.9</v>
      </c>
      <c r="D28" s="18" t="n">
        <v>26.9</v>
      </c>
      <c r="E28" s="18" t="n">
        <v>78</v>
      </c>
      <c r="F28" s="18" t="n">
        <v>1.5</v>
      </c>
      <c r="G28" s="18" t="inlineStr">
        <is>
          <t>Sedang</t>
        </is>
      </c>
    </row>
    <row r="29">
      <c r="A29" s="30" t="n">
        <v>45685</v>
      </c>
      <c r="B29" s="20" t="inlineStr">
        <is>
          <t>Parepare</t>
        </is>
      </c>
      <c r="C29" s="20" t="n">
        <v>2.3</v>
      </c>
      <c r="D29" s="20" t="n">
        <v>26.1</v>
      </c>
      <c r="E29" s="20" t="n">
        <v>82</v>
      </c>
      <c r="F29" s="20" t="n">
        <v>2.7</v>
      </c>
      <c r="G29" s="20" t="inlineStr">
        <is>
          <t>Ringan</t>
        </is>
      </c>
    </row>
    <row r="30">
      <c r="A30" s="29" t="n">
        <v>45686</v>
      </c>
      <c r="B30" s="18" t="inlineStr">
        <is>
          <t>Parepare</t>
        </is>
      </c>
      <c r="C30" s="18" t="n">
        <v>0</v>
      </c>
      <c r="D30" s="18" t="n">
        <v>25.4</v>
      </c>
      <c r="E30" s="18" t="n">
        <v>77</v>
      </c>
      <c r="F30" s="18" t="n">
        <v>1.9</v>
      </c>
      <c r="G30" s="18" t="inlineStr">
        <is>
          <t>Tidak hujan</t>
        </is>
      </c>
    </row>
    <row r="31">
      <c r="A31" s="30" t="n">
        <v>45687</v>
      </c>
      <c r="B31" s="20" t="inlineStr">
        <is>
          <t>Parepare</t>
        </is>
      </c>
      <c r="C31" s="20" t="n">
        <v>3.2</v>
      </c>
      <c r="D31" s="20" t="n">
        <v>28.3</v>
      </c>
      <c r="E31" s="20" t="n">
        <v>72</v>
      </c>
      <c r="F31" s="20" t="n">
        <v>2.8</v>
      </c>
      <c r="G31" s="20" t="inlineStr">
        <is>
          <t>Ringan</t>
        </is>
      </c>
    </row>
    <row r="32">
      <c r="A32" s="29" t="n">
        <v>45688</v>
      </c>
      <c r="B32" s="18" t="inlineStr">
        <is>
          <t>Parepare</t>
        </is>
      </c>
      <c r="C32" s="18" t="n">
        <v>8.5</v>
      </c>
      <c r="D32" s="18" t="n">
        <v>25.3</v>
      </c>
      <c r="E32" s="18" t="n">
        <v>79</v>
      </c>
      <c r="F32" s="18" t="n">
        <v>1.3</v>
      </c>
      <c r="G32" s="18" t="inlineStr">
        <is>
          <t>Sedang</t>
        </is>
      </c>
    </row>
    <row r="33">
      <c r="A33" s="30" t="n">
        <v>45689</v>
      </c>
      <c r="B33" s="20" t="inlineStr">
        <is>
          <t>Parepare</t>
        </is>
      </c>
      <c r="C33" s="20" t="n">
        <v>0</v>
      </c>
      <c r="D33" s="20" t="n">
        <v>27.1</v>
      </c>
      <c r="E33" s="20" t="n">
        <v>61</v>
      </c>
      <c r="F33" s="20" t="n">
        <v>2.9</v>
      </c>
      <c r="G33" s="20" t="inlineStr">
        <is>
          <t>Tidak hujan</t>
        </is>
      </c>
    </row>
    <row r="34">
      <c r="A34" s="29" t="n">
        <v>45690</v>
      </c>
      <c r="B34" s="18" t="inlineStr">
        <is>
          <t>Parepare</t>
        </is>
      </c>
      <c r="C34" s="18" t="n">
        <v>4.5</v>
      </c>
      <c r="D34" s="18" t="n">
        <v>26.8</v>
      </c>
      <c r="E34" s="18" t="n">
        <v>80</v>
      </c>
      <c r="F34" s="18" t="n">
        <v>2.1</v>
      </c>
      <c r="G34" s="18" t="inlineStr">
        <is>
          <t>Ringan</t>
        </is>
      </c>
    </row>
    <row r="35">
      <c r="A35" s="30" t="n">
        <v>45691</v>
      </c>
      <c r="B35" s="20" t="inlineStr">
        <is>
          <t>Parepare</t>
        </is>
      </c>
      <c r="C35" s="20" t="n">
        <v>3.8</v>
      </c>
      <c r="D35" s="20" t="n">
        <v>28.4</v>
      </c>
      <c r="E35" s="20" t="n">
        <v>75</v>
      </c>
      <c r="F35" s="20" t="n">
        <v>2.9</v>
      </c>
      <c r="G35" s="20" t="inlineStr">
        <is>
          <t>Ringan</t>
        </is>
      </c>
    </row>
    <row r="36">
      <c r="A36" s="29" t="n">
        <v>45692</v>
      </c>
      <c r="B36" s="18" t="inlineStr">
        <is>
          <t>Parepare</t>
        </is>
      </c>
      <c r="C36" s="18" t="n">
        <v>6.7</v>
      </c>
      <c r="D36" s="18" t="n">
        <v>25.9</v>
      </c>
      <c r="E36" s="18" t="n">
        <v>78</v>
      </c>
      <c r="F36" s="18" t="n">
        <v>1.7</v>
      </c>
      <c r="G36" s="18" t="inlineStr">
        <is>
          <t>Sedang</t>
        </is>
      </c>
    </row>
    <row r="37">
      <c r="A37" s="30" t="n">
        <v>45693</v>
      </c>
      <c r="B37" s="20" t="inlineStr">
        <is>
          <t>Parepare</t>
        </is>
      </c>
      <c r="C37" s="20" t="n">
        <v>0</v>
      </c>
      <c r="D37" s="20" t="n">
        <v>27.9</v>
      </c>
      <c r="E37" s="20" t="n">
        <v>71</v>
      </c>
      <c r="F37" s="20" t="n">
        <v>1</v>
      </c>
      <c r="G37" s="20" t="inlineStr">
        <is>
          <t>Tidak hujan</t>
        </is>
      </c>
    </row>
    <row r="38">
      <c r="A38" s="29" t="n">
        <v>45694</v>
      </c>
      <c r="B38" s="18" t="inlineStr">
        <is>
          <t>Parepare</t>
        </is>
      </c>
      <c r="C38" s="18" t="n">
        <v>10.4</v>
      </c>
      <c r="D38" s="18" t="n">
        <v>27.1</v>
      </c>
      <c r="E38" s="18" t="n">
        <v>76</v>
      </c>
      <c r="F38" s="18" t="n">
        <v>3.7</v>
      </c>
      <c r="G38" s="18" t="inlineStr">
        <is>
          <t>Sedang</t>
        </is>
      </c>
    </row>
    <row r="39">
      <c r="A39" s="30" t="n">
        <v>45695</v>
      </c>
      <c r="B39" s="20" t="inlineStr">
        <is>
          <t>Parepare</t>
        </is>
      </c>
      <c r="C39" s="20" t="n">
        <v>0</v>
      </c>
      <c r="D39" s="20" t="n">
        <v>25.1</v>
      </c>
      <c r="E39" s="20" t="n">
        <v>62</v>
      </c>
      <c r="F39" s="20" t="n">
        <v>1.8</v>
      </c>
      <c r="G39" s="20" t="inlineStr">
        <is>
          <t>Tidak hujan</t>
        </is>
      </c>
    </row>
    <row r="40">
      <c r="A40" s="29" t="n">
        <v>45696</v>
      </c>
      <c r="B40" s="18" t="inlineStr">
        <is>
          <t>Parepare</t>
        </is>
      </c>
      <c r="C40" s="18" t="n">
        <v>0</v>
      </c>
      <c r="D40" s="18" t="n">
        <v>28.7</v>
      </c>
      <c r="E40" s="18" t="n">
        <v>61</v>
      </c>
      <c r="F40" s="18" t="n">
        <v>1.8</v>
      </c>
      <c r="G40" s="18" t="inlineStr">
        <is>
          <t>Tidak hujan</t>
        </is>
      </c>
    </row>
    <row r="41">
      <c r="A41" s="30" t="n">
        <v>45697</v>
      </c>
      <c r="B41" s="20" t="inlineStr">
        <is>
          <t>Parepare</t>
        </is>
      </c>
      <c r="C41" s="20" t="n">
        <v>0</v>
      </c>
      <c r="D41" s="20" t="n">
        <v>26.3</v>
      </c>
      <c r="E41" s="20" t="n">
        <v>72</v>
      </c>
      <c r="F41" s="20" t="n">
        <v>2.5</v>
      </c>
      <c r="G41" s="20" t="inlineStr">
        <is>
          <t>Tidak hujan</t>
        </is>
      </c>
    </row>
    <row r="42">
      <c r="A42" s="29" t="n">
        <v>45698</v>
      </c>
      <c r="B42" s="18" t="inlineStr">
        <is>
          <t>Parepare</t>
        </is>
      </c>
      <c r="C42" s="18" t="n">
        <v>0</v>
      </c>
      <c r="D42" s="18" t="n">
        <v>27</v>
      </c>
      <c r="E42" s="18" t="n">
        <v>75</v>
      </c>
      <c r="F42" s="18" t="n">
        <v>2.3</v>
      </c>
      <c r="G42" s="18" t="inlineStr">
        <is>
          <t>Tidak hujan</t>
        </is>
      </c>
    </row>
    <row r="43">
      <c r="A43" s="30" t="n">
        <v>45699</v>
      </c>
      <c r="B43" s="20" t="inlineStr">
        <is>
          <t>Parepare</t>
        </is>
      </c>
      <c r="C43" s="20" t="n">
        <v>0</v>
      </c>
      <c r="D43" s="20" t="n">
        <v>26.3</v>
      </c>
      <c r="E43" s="20" t="n">
        <v>62</v>
      </c>
      <c r="F43" s="20" t="n">
        <v>1.2</v>
      </c>
      <c r="G43" s="20" t="inlineStr">
        <is>
          <t>Tidak hujan</t>
        </is>
      </c>
    </row>
    <row r="44">
      <c r="A44" s="29" t="n">
        <v>45700</v>
      </c>
      <c r="B44" s="18" t="inlineStr">
        <is>
          <t>Parepare</t>
        </is>
      </c>
      <c r="C44" s="18" t="n">
        <v>35.8</v>
      </c>
      <c r="D44" s="18" t="n">
        <v>25.6</v>
      </c>
      <c r="E44" s="18" t="n">
        <v>74</v>
      </c>
      <c r="F44" s="18" t="n">
        <v>3.1</v>
      </c>
      <c r="G44" s="18" t="inlineStr">
        <is>
          <t>Lebat</t>
        </is>
      </c>
    </row>
    <row r="45">
      <c r="A45" s="30" t="n">
        <v>45701</v>
      </c>
      <c r="B45" s="20" t="inlineStr">
        <is>
          <t>Parepare</t>
        </is>
      </c>
      <c r="C45" s="20" t="n">
        <v>11.4</v>
      </c>
      <c r="D45" s="20" t="n">
        <v>25.2</v>
      </c>
      <c r="E45" s="20" t="n">
        <v>89</v>
      </c>
      <c r="F45" s="20" t="n">
        <v>3.4</v>
      </c>
      <c r="G45" s="20" t="inlineStr">
        <is>
          <t>Sedang</t>
        </is>
      </c>
    </row>
    <row r="46">
      <c r="A46" s="29" t="n">
        <v>45702</v>
      </c>
      <c r="B46" s="18" t="inlineStr">
        <is>
          <t>Parepare</t>
        </is>
      </c>
      <c r="C46" s="18" t="n">
        <v>0</v>
      </c>
      <c r="D46" s="18" t="n">
        <v>28.7</v>
      </c>
      <c r="E46" s="18" t="n">
        <v>72</v>
      </c>
      <c r="F46" s="18" t="n">
        <v>2.6</v>
      </c>
      <c r="G46" s="18" t="inlineStr">
        <is>
          <t>Tidak hujan</t>
        </is>
      </c>
    </row>
    <row r="47">
      <c r="A47" s="30" t="n">
        <v>45703</v>
      </c>
      <c r="B47" s="20" t="inlineStr">
        <is>
          <t>Parepare</t>
        </is>
      </c>
      <c r="C47" s="20" t="n">
        <v>7.6</v>
      </c>
      <c r="D47" s="20" t="n">
        <v>27.3</v>
      </c>
      <c r="E47" s="20" t="n">
        <v>80</v>
      </c>
      <c r="F47" s="20" t="n">
        <v>2.7</v>
      </c>
      <c r="G47" s="20" t="inlineStr">
        <is>
          <t>Sedang</t>
        </is>
      </c>
    </row>
    <row r="48">
      <c r="A48" s="29" t="n">
        <v>45704</v>
      </c>
      <c r="B48" s="18" t="inlineStr">
        <is>
          <t>Parepare</t>
        </is>
      </c>
      <c r="C48" s="18" t="n">
        <v>0</v>
      </c>
      <c r="D48" s="18" t="n">
        <v>26.4</v>
      </c>
      <c r="E48" s="18" t="n">
        <v>66</v>
      </c>
      <c r="F48" s="18" t="n">
        <v>2.5</v>
      </c>
      <c r="G48" s="18" t="inlineStr">
        <is>
          <t>Tidak hujan</t>
        </is>
      </c>
    </row>
    <row r="49">
      <c r="A49" s="30" t="n">
        <v>45705</v>
      </c>
      <c r="B49" s="20" t="inlineStr">
        <is>
          <t>Parepare</t>
        </is>
      </c>
      <c r="C49" s="20" t="n">
        <v>0</v>
      </c>
      <c r="D49" s="20" t="n">
        <v>25.8</v>
      </c>
      <c r="E49" s="20" t="n">
        <v>67</v>
      </c>
      <c r="F49" s="20" t="n">
        <v>1.3</v>
      </c>
      <c r="G49" s="20" t="inlineStr">
        <is>
          <t>Tidak hujan</t>
        </is>
      </c>
    </row>
    <row r="50">
      <c r="A50" s="29" t="n">
        <v>45706</v>
      </c>
      <c r="B50" s="18" t="inlineStr">
        <is>
          <t>Parepare</t>
        </is>
      </c>
      <c r="C50" s="18" t="n">
        <v>18.4</v>
      </c>
      <c r="D50" s="18" t="n">
        <v>25.9</v>
      </c>
      <c r="E50" s="18" t="n">
        <v>74</v>
      </c>
      <c r="F50" s="18" t="n">
        <v>2.6</v>
      </c>
      <c r="G50" s="18" t="inlineStr">
        <is>
          <t>Sedang</t>
        </is>
      </c>
    </row>
    <row r="51">
      <c r="A51" s="30" t="n">
        <v>45707</v>
      </c>
      <c r="B51" s="20" t="inlineStr">
        <is>
          <t>Parepare</t>
        </is>
      </c>
      <c r="C51" s="20" t="n">
        <v>71.5</v>
      </c>
      <c r="D51" s="20" t="n">
        <v>25.4</v>
      </c>
      <c r="E51" s="20" t="n">
        <v>97</v>
      </c>
      <c r="F51" s="20" t="n">
        <v>3.5</v>
      </c>
      <c r="G51" s="20" t="inlineStr">
        <is>
          <t>Lebat</t>
        </is>
      </c>
    </row>
    <row r="52">
      <c r="A52" s="29" t="n">
        <v>45708</v>
      </c>
      <c r="B52" s="18" t="inlineStr">
        <is>
          <t>Parepare</t>
        </is>
      </c>
      <c r="C52" s="18" t="n">
        <v>18.7</v>
      </c>
      <c r="D52" s="18" t="n">
        <v>25.2</v>
      </c>
      <c r="E52" s="18" t="n">
        <v>74</v>
      </c>
      <c r="F52" s="18" t="n">
        <v>3.8</v>
      </c>
      <c r="G52" s="18" t="inlineStr">
        <is>
          <t>Sedang</t>
        </is>
      </c>
    </row>
    <row r="53">
      <c r="A53" s="30" t="n">
        <v>45709</v>
      </c>
      <c r="B53" s="20" t="inlineStr">
        <is>
          <t>Parepare</t>
        </is>
      </c>
      <c r="C53" s="20" t="n">
        <v>1.3</v>
      </c>
      <c r="D53" s="20" t="n">
        <v>28.1</v>
      </c>
      <c r="E53" s="20" t="n">
        <v>86</v>
      </c>
      <c r="F53" s="20" t="n">
        <v>3.3</v>
      </c>
      <c r="G53" s="20" t="inlineStr">
        <is>
          <t>Ringan</t>
        </is>
      </c>
    </row>
    <row r="54">
      <c r="A54" s="29" t="n">
        <v>45710</v>
      </c>
      <c r="B54" s="18" t="inlineStr">
        <is>
          <t>Parepare</t>
        </is>
      </c>
      <c r="C54" s="18" t="n">
        <v>13.2</v>
      </c>
      <c r="D54" s="18" t="n">
        <v>25</v>
      </c>
      <c r="E54" s="18" t="n">
        <v>84</v>
      </c>
      <c r="F54" s="18" t="n">
        <v>1</v>
      </c>
      <c r="G54" s="18" t="inlineStr">
        <is>
          <t>Sedang</t>
        </is>
      </c>
    </row>
    <row r="55">
      <c r="A55" s="30" t="n">
        <v>45711</v>
      </c>
      <c r="B55" s="20" t="inlineStr">
        <is>
          <t>Parepare</t>
        </is>
      </c>
      <c r="C55" s="20" t="n">
        <v>0</v>
      </c>
      <c r="D55" s="20" t="n">
        <v>28.5</v>
      </c>
      <c r="E55" s="20" t="n">
        <v>66</v>
      </c>
      <c r="F55" s="20" t="n">
        <v>2.7</v>
      </c>
      <c r="G55" s="20" t="inlineStr">
        <is>
          <t>Tidak hujan</t>
        </is>
      </c>
    </row>
    <row r="56">
      <c r="A56" s="29" t="n">
        <v>45712</v>
      </c>
      <c r="B56" s="18" t="inlineStr">
        <is>
          <t>Parepare</t>
        </is>
      </c>
      <c r="C56" s="18" t="n">
        <v>12.4</v>
      </c>
      <c r="D56" s="18" t="n">
        <v>26.9</v>
      </c>
      <c r="E56" s="18" t="n">
        <v>87</v>
      </c>
      <c r="F56" s="18" t="n">
        <v>3.5</v>
      </c>
      <c r="G56" s="18" t="inlineStr">
        <is>
          <t>Sedang</t>
        </is>
      </c>
    </row>
    <row r="57">
      <c r="A57" s="30" t="n">
        <v>45713</v>
      </c>
      <c r="B57" s="20" t="inlineStr">
        <is>
          <t>Parepare</t>
        </is>
      </c>
      <c r="C57" s="20" t="n">
        <v>0</v>
      </c>
      <c r="D57" s="20" t="n">
        <v>26.2</v>
      </c>
      <c r="E57" s="20" t="n">
        <v>77</v>
      </c>
      <c r="F57" s="20" t="n">
        <v>4.4</v>
      </c>
      <c r="G57" s="20" t="inlineStr">
        <is>
          <t>Tidak hujan</t>
        </is>
      </c>
    </row>
    <row r="58">
      <c r="A58" s="29" t="n">
        <v>45714</v>
      </c>
      <c r="B58" s="18" t="inlineStr">
        <is>
          <t>Parepare</t>
        </is>
      </c>
      <c r="C58" s="18" t="n">
        <v>10.7</v>
      </c>
      <c r="D58" s="18" t="n">
        <v>28.1</v>
      </c>
      <c r="E58" s="18" t="n">
        <v>78</v>
      </c>
      <c r="F58" s="18" t="n">
        <v>0.5</v>
      </c>
      <c r="G58" s="18" t="inlineStr">
        <is>
          <t>Sedang</t>
        </is>
      </c>
    </row>
    <row r="59">
      <c r="A59" s="30" t="n">
        <v>45715</v>
      </c>
      <c r="B59" s="20" t="inlineStr">
        <is>
          <t>Parepare</t>
        </is>
      </c>
      <c r="C59" s="20" t="n">
        <v>0</v>
      </c>
      <c r="D59" s="20" t="n">
        <v>26.5</v>
      </c>
      <c r="E59" s="20" t="n">
        <v>78</v>
      </c>
      <c r="F59" s="20" t="n">
        <v>1.7</v>
      </c>
      <c r="G59" s="20" t="inlineStr">
        <is>
          <t>Tidak hujan</t>
        </is>
      </c>
    </row>
    <row r="60">
      <c r="A60" s="29" t="n">
        <v>45716</v>
      </c>
      <c r="B60" s="18" t="inlineStr">
        <is>
          <t>Parepare</t>
        </is>
      </c>
      <c r="C60" s="18" t="n">
        <v>0</v>
      </c>
      <c r="D60" s="18" t="n">
        <v>25.7</v>
      </c>
      <c r="E60" s="18" t="n">
        <v>60</v>
      </c>
      <c r="F60" s="18" t="n">
        <v>2.1</v>
      </c>
      <c r="G60" s="18" t="inlineStr">
        <is>
          <t>Tidak hujan</t>
        </is>
      </c>
    </row>
    <row r="61">
      <c r="A61" s="30" t="n">
        <v>45717</v>
      </c>
      <c r="B61" s="20" t="inlineStr">
        <is>
          <t>Parepare</t>
        </is>
      </c>
      <c r="C61" s="20" t="n">
        <v>13.2</v>
      </c>
      <c r="D61" s="20" t="n">
        <v>27.3</v>
      </c>
      <c r="E61" s="20" t="n">
        <v>71</v>
      </c>
      <c r="F61" s="20" t="n">
        <v>3.1</v>
      </c>
      <c r="G61" s="20" t="inlineStr">
        <is>
          <t>Sedang</t>
        </is>
      </c>
    </row>
    <row r="62">
      <c r="A62" s="29" t="n">
        <v>45718</v>
      </c>
      <c r="B62" s="18" t="inlineStr">
        <is>
          <t>Parepare</t>
        </is>
      </c>
      <c r="C62" s="18" t="n">
        <v>0</v>
      </c>
      <c r="D62" s="18" t="n">
        <v>27.6</v>
      </c>
      <c r="E62" s="18" t="n">
        <v>60</v>
      </c>
      <c r="F62" s="18" t="n">
        <v>2.7</v>
      </c>
      <c r="G62" s="18" t="inlineStr">
        <is>
          <t>Tidak hujan</t>
        </is>
      </c>
    </row>
    <row r="63">
      <c r="A63" s="30" t="n">
        <v>45719</v>
      </c>
      <c r="B63" s="20" t="inlineStr">
        <is>
          <t>Parepare</t>
        </is>
      </c>
      <c r="C63" s="20" t="n">
        <v>7.9</v>
      </c>
      <c r="D63" s="20" t="n">
        <v>28.1</v>
      </c>
      <c r="E63" s="20" t="n">
        <v>80</v>
      </c>
      <c r="F63" s="20" t="n">
        <v>3</v>
      </c>
      <c r="G63" s="20" t="inlineStr">
        <is>
          <t>Sedang</t>
        </is>
      </c>
    </row>
    <row r="64">
      <c r="A64" s="29" t="n">
        <v>45720</v>
      </c>
      <c r="B64" s="18" t="inlineStr">
        <is>
          <t>Parepare</t>
        </is>
      </c>
      <c r="C64" s="18" t="n">
        <v>8.300000000000001</v>
      </c>
      <c r="D64" s="18" t="n">
        <v>28.8</v>
      </c>
      <c r="E64" s="18" t="n">
        <v>87</v>
      </c>
      <c r="F64" s="18" t="n">
        <v>3.5</v>
      </c>
      <c r="G64" s="18" t="inlineStr">
        <is>
          <t>Sedang</t>
        </is>
      </c>
    </row>
    <row r="65">
      <c r="A65" s="30" t="n">
        <v>45721</v>
      </c>
      <c r="B65" s="20" t="inlineStr">
        <is>
          <t>Parepare</t>
        </is>
      </c>
      <c r="C65" s="20" t="n">
        <v>0</v>
      </c>
      <c r="D65" s="20" t="n">
        <v>27</v>
      </c>
      <c r="E65" s="20" t="n">
        <v>79</v>
      </c>
      <c r="F65" s="20" t="n">
        <v>3.9</v>
      </c>
      <c r="G65" s="20" t="inlineStr">
        <is>
          <t>Tidak hujan</t>
        </is>
      </c>
    </row>
    <row r="66">
      <c r="A66" s="29" t="n">
        <v>45722</v>
      </c>
      <c r="B66" s="18" t="inlineStr">
        <is>
          <t>Parepare</t>
        </is>
      </c>
      <c r="C66" s="18" t="n">
        <v>0</v>
      </c>
      <c r="D66" s="18" t="n">
        <v>27.3</v>
      </c>
      <c r="E66" s="18" t="n">
        <v>64</v>
      </c>
      <c r="F66" s="18" t="n">
        <v>1.2</v>
      </c>
      <c r="G66" s="18" t="inlineStr">
        <is>
          <t>Tidak hujan</t>
        </is>
      </c>
    </row>
    <row r="67">
      <c r="A67" s="30" t="n">
        <v>45723</v>
      </c>
      <c r="B67" s="20" t="inlineStr">
        <is>
          <t>Parepare</t>
        </is>
      </c>
      <c r="C67" s="20" t="n">
        <v>0</v>
      </c>
      <c r="D67" s="20" t="n">
        <v>28.1</v>
      </c>
      <c r="E67" s="20" t="n">
        <v>71</v>
      </c>
      <c r="F67" s="20" t="n">
        <v>1.4</v>
      </c>
      <c r="G67" s="20" t="inlineStr">
        <is>
          <t>Tidak hujan</t>
        </is>
      </c>
    </row>
    <row r="68">
      <c r="A68" s="29" t="n">
        <v>45724</v>
      </c>
      <c r="B68" s="18" t="inlineStr">
        <is>
          <t>Parepare</t>
        </is>
      </c>
      <c r="C68" s="18" t="n">
        <v>0</v>
      </c>
      <c r="D68" s="18" t="n">
        <v>27.9</v>
      </c>
      <c r="E68" s="18" t="n">
        <v>61</v>
      </c>
      <c r="F68" s="18" t="n">
        <v>3</v>
      </c>
      <c r="G68" s="18" t="inlineStr">
        <is>
          <t>Tidak hujan</t>
        </is>
      </c>
    </row>
    <row r="69">
      <c r="A69" s="30" t="n">
        <v>45725</v>
      </c>
      <c r="B69" s="20" t="inlineStr">
        <is>
          <t>Parepare</t>
        </is>
      </c>
      <c r="C69" s="20" t="n">
        <v>1.6</v>
      </c>
      <c r="D69" s="20" t="n">
        <v>27.7</v>
      </c>
      <c r="E69" s="20" t="n">
        <v>75</v>
      </c>
      <c r="F69" s="20" t="n">
        <v>1.9</v>
      </c>
      <c r="G69" s="20" t="inlineStr">
        <is>
          <t>Ringan</t>
        </is>
      </c>
    </row>
    <row r="70">
      <c r="A70" s="29" t="n">
        <v>45726</v>
      </c>
      <c r="B70" s="18" t="inlineStr">
        <is>
          <t>Parepare</t>
        </is>
      </c>
      <c r="C70" s="18" t="n">
        <v>54.6</v>
      </c>
      <c r="D70" s="18" t="n">
        <v>27</v>
      </c>
      <c r="E70" s="18" t="n">
        <v>89</v>
      </c>
      <c r="F70" s="18" t="n">
        <v>4.4</v>
      </c>
      <c r="G70" s="18" t="inlineStr">
        <is>
          <t>Lebat</t>
        </is>
      </c>
    </row>
    <row r="71">
      <c r="A71" s="30" t="n">
        <v>45727</v>
      </c>
      <c r="B71" s="20" t="inlineStr">
        <is>
          <t>Parepare</t>
        </is>
      </c>
      <c r="C71" s="20" t="n">
        <v>81.90000000000001</v>
      </c>
      <c r="D71" s="20" t="n">
        <v>28.1</v>
      </c>
      <c r="E71" s="20" t="n">
        <v>95</v>
      </c>
      <c r="F71" s="20" t="n">
        <v>3.3</v>
      </c>
      <c r="G71" s="20" t="inlineStr">
        <is>
          <t>Lebat</t>
        </is>
      </c>
    </row>
    <row r="72">
      <c r="A72" s="29" t="n">
        <v>45728</v>
      </c>
      <c r="B72" s="18" t="inlineStr">
        <is>
          <t>Parepare</t>
        </is>
      </c>
      <c r="C72" s="18" t="n">
        <v>6.3</v>
      </c>
      <c r="D72" s="18" t="n">
        <v>27.8</v>
      </c>
      <c r="E72" s="18" t="n">
        <v>69</v>
      </c>
      <c r="F72" s="18" t="n">
        <v>1.5</v>
      </c>
      <c r="G72" s="18" t="inlineStr">
        <is>
          <t>Sedang</t>
        </is>
      </c>
    </row>
    <row r="73">
      <c r="A73" s="30" t="n">
        <v>45729</v>
      </c>
      <c r="B73" s="20" t="inlineStr">
        <is>
          <t>Parepare</t>
        </is>
      </c>
      <c r="C73" s="20" t="n">
        <v>0</v>
      </c>
      <c r="D73" s="20" t="n">
        <v>28.3</v>
      </c>
      <c r="E73" s="20" t="n">
        <v>78</v>
      </c>
      <c r="F73" s="20" t="n">
        <v>3.4</v>
      </c>
      <c r="G73" s="20" t="inlineStr">
        <is>
          <t>Tidak hujan</t>
        </is>
      </c>
    </row>
    <row r="74">
      <c r="A74" s="29" t="n">
        <v>45730</v>
      </c>
      <c r="B74" s="18" t="inlineStr">
        <is>
          <t>Parepare</t>
        </is>
      </c>
      <c r="C74" s="18" t="n">
        <v>1.3</v>
      </c>
      <c r="D74" s="18" t="n">
        <v>29.1</v>
      </c>
      <c r="E74" s="18" t="n">
        <v>78</v>
      </c>
      <c r="F74" s="18" t="n">
        <v>3.5</v>
      </c>
      <c r="G74" s="18" t="inlineStr">
        <is>
          <t>Ringan</t>
        </is>
      </c>
    </row>
    <row r="75">
      <c r="A75" s="30" t="n">
        <v>45731</v>
      </c>
      <c r="B75" s="20" t="inlineStr">
        <is>
          <t>Parepare</t>
        </is>
      </c>
      <c r="C75" s="20" t="n">
        <v>0</v>
      </c>
      <c r="D75" s="20" t="n">
        <v>28.1</v>
      </c>
      <c r="E75" s="20" t="n">
        <v>70</v>
      </c>
      <c r="F75" s="20" t="n">
        <v>2.7</v>
      </c>
      <c r="G75" s="20" t="inlineStr">
        <is>
          <t>Tidak hujan</t>
        </is>
      </c>
    </row>
    <row r="76">
      <c r="A76" s="29" t="n">
        <v>45732</v>
      </c>
      <c r="B76" s="18" t="inlineStr">
        <is>
          <t>Parepare</t>
        </is>
      </c>
      <c r="C76" s="18" t="n">
        <v>2.9</v>
      </c>
      <c r="D76" s="18" t="n">
        <v>30</v>
      </c>
      <c r="E76" s="18" t="n">
        <v>80</v>
      </c>
      <c r="F76" s="18" t="n">
        <v>1</v>
      </c>
      <c r="G76" s="18" t="inlineStr">
        <is>
          <t>Ringan</t>
        </is>
      </c>
    </row>
    <row r="77">
      <c r="A77" s="30" t="n">
        <v>45733</v>
      </c>
      <c r="B77" s="20" t="inlineStr">
        <is>
          <t>Parepare</t>
        </is>
      </c>
      <c r="C77" s="20" t="n">
        <v>3.9</v>
      </c>
      <c r="D77" s="20" t="n">
        <v>28.5</v>
      </c>
      <c r="E77" s="20" t="n">
        <v>88</v>
      </c>
      <c r="F77" s="20" t="n">
        <v>1.4</v>
      </c>
      <c r="G77" s="20" t="inlineStr">
        <is>
          <t>Ringan</t>
        </is>
      </c>
    </row>
    <row r="78">
      <c r="A78" s="29" t="n">
        <v>45734</v>
      </c>
      <c r="B78" s="18" t="inlineStr">
        <is>
          <t>Parepare</t>
        </is>
      </c>
      <c r="C78" s="18" t="n">
        <v>2.6</v>
      </c>
      <c r="D78" s="18" t="n">
        <v>28.5</v>
      </c>
      <c r="E78" s="18" t="n">
        <v>79</v>
      </c>
      <c r="F78" s="18" t="n">
        <v>1.7</v>
      </c>
      <c r="G78" s="18" t="inlineStr">
        <is>
          <t>Ringan</t>
        </is>
      </c>
    </row>
    <row r="79">
      <c r="A79" s="30" t="n">
        <v>45735</v>
      </c>
      <c r="B79" s="20" t="inlineStr">
        <is>
          <t>Parepare</t>
        </is>
      </c>
      <c r="C79" s="20" t="n">
        <v>2.3</v>
      </c>
      <c r="D79" s="20" t="n">
        <v>28.6</v>
      </c>
      <c r="E79" s="20" t="n">
        <v>87</v>
      </c>
      <c r="F79" s="20" t="n">
        <v>1.4</v>
      </c>
      <c r="G79" s="20" t="inlineStr">
        <is>
          <t>Ringan</t>
        </is>
      </c>
    </row>
    <row r="80">
      <c r="A80" s="29" t="n">
        <v>45736</v>
      </c>
      <c r="B80" s="18" t="inlineStr">
        <is>
          <t>Parepare</t>
        </is>
      </c>
      <c r="C80" s="18" t="n">
        <v>0</v>
      </c>
      <c r="D80" s="18" t="n">
        <v>26.8</v>
      </c>
      <c r="E80" s="18" t="n">
        <v>63</v>
      </c>
      <c r="F80" s="18" t="n">
        <v>2.1</v>
      </c>
      <c r="G80" s="18" t="inlineStr">
        <is>
          <t>Tidak hujan</t>
        </is>
      </c>
    </row>
    <row r="81">
      <c r="A81" s="30" t="n">
        <v>45737</v>
      </c>
      <c r="B81" s="20" t="inlineStr">
        <is>
          <t>Parepare</t>
        </is>
      </c>
      <c r="C81" s="20" t="n">
        <v>8.300000000000001</v>
      </c>
      <c r="D81" s="20" t="n">
        <v>28.3</v>
      </c>
      <c r="E81" s="20" t="n">
        <v>89</v>
      </c>
      <c r="F81" s="20" t="n">
        <v>2.9</v>
      </c>
      <c r="G81" s="20" t="inlineStr">
        <is>
          <t>Sedang</t>
        </is>
      </c>
    </row>
    <row r="82">
      <c r="A82" s="29" t="n">
        <v>45738</v>
      </c>
      <c r="B82" s="18" t="inlineStr">
        <is>
          <t>Parepare</t>
        </is>
      </c>
      <c r="C82" s="18" t="n">
        <v>9.9</v>
      </c>
      <c r="D82" s="18" t="n">
        <v>28.8</v>
      </c>
      <c r="E82" s="18" t="n">
        <v>73</v>
      </c>
      <c r="F82" s="18" t="n">
        <v>2.2</v>
      </c>
      <c r="G82" s="18" t="inlineStr">
        <is>
          <t>Sedang</t>
        </is>
      </c>
    </row>
    <row r="83">
      <c r="A83" s="30" t="n">
        <v>45739</v>
      </c>
      <c r="B83" s="20" t="inlineStr">
        <is>
          <t>Parepare</t>
        </is>
      </c>
      <c r="C83" s="20" t="n">
        <v>6.2</v>
      </c>
      <c r="D83" s="20" t="n">
        <v>26.7</v>
      </c>
      <c r="E83" s="20" t="n">
        <v>77</v>
      </c>
      <c r="F83" s="20" t="n">
        <v>1.8</v>
      </c>
      <c r="G83" s="20" t="inlineStr">
        <is>
          <t>Sedang</t>
        </is>
      </c>
    </row>
    <row r="84">
      <c r="A84" s="29" t="n">
        <v>45740</v>
      </c>
      <c r="B84" s="18" t="inlineStr">
        <is>
          <t>Parepare</t>
        </is>
      </c>
      <c r="C84" s="18" t="n">
        <v>17.2</v>
      </c>
      <c r="D84" s="18" t="n">
        <v>29.4</v>
      </c>
      <c r="E84" s="18" t="n">
        <v>77</v>
      </c>
      <c r="F84" s="18" t="n">
        <v>1.9</v>
      </c>
      <c r="G84" s="18" t="inlineStr">
        <is>
          <t>Sedang</t>
        </is>
      </c>
    </row>
    <row r="85">
      <c r="A85" s="30" t="n">
        <v>45741</v>
      </c>
      <c r="B85" s="20" t="inlineStr">
        <is>
          <t>Parepare</t>
        </is>
      </c>
      <c r="C85" s="20" t="n">
        <v>1.7</v>
      </c>
      <c r="D85" s="20" t="n">
        <v>30.2</v>
      </c>
      <c r="E85" s="20" t="n">
        <v>68</v>
      </c>
      <c r="F85" s="20" t="n">
        <v>1</v>
      </c>
      <c r="G85" s="20" t="inlineStr">
        <is>
          <t>Ringan</t>
        </is>
      </c>
    </row>
    <row r="86">
      <c r="A86" s="29" t="n">
        <v>45742</v>
      </c>
      <c r="B86" s="18" t="inlineStr">
        <is>
          <t>Parepare</t>
        </is>
      </c>
      <c r="C86" s="18" t="n">
        <v>0</v>
      </c>
      <c r="D86" s="18" t="n">
        <v>29.3</v>
      </c>
      <c r="E86" s="18" t="n">
        <v>61</v>
      </c>
      <c r="F86" s="18" t="n">
        <v>2.3</v>
      </c>
      <c r="G86" s="18" t="inlineStr">
        <is>
          <t>Tidak hujan</t>
        </is>
      </c>
    </row>
    <row r="87">
      <c r="A87" s="30" t="n">
        <v>45743</v>
      </c>
      <c r="B87" s="20" t="inlineStr">
        <is>
          <t>Parepare</t>
        </is>
      </c>
      <c r="C87" s="20" t="n">
        <v>18</v>
      </c>
      <c r="D87" s="20" t="n">
        <v>25.8</v>
      </c>
      <c r="E87" s="20" t="n">
        <v>76</v>
      </c>
      <c r="F87" s="20" t="n">
        <v>3</v>
      </c>
      <c r="G87" s="20" t="inlineStr">
        <is>
          <t>Sedang</t>
        </is>
      </c>
    </row>
    <row r="88">
      <c r="A88" s="29" t="n">
        <v>45744</v>
      </c>
      <c r="B88" s="18" t="inlineStr">
        <is>
          <t>Parepare</t>
        </is>
      </c>
      <c r="C88" s="18" t="n">
        <v>3.5</v>
      </c>
      <c r="D88" s="18" t="n">
        <v>29.9</v>
      </c>
      <c r="E88" s="18" t="n">
        <v>81</v>
      </c>
      <c r="F88" s="18" t="n">
        <v>1.7</v>
      </c>
      <c r="G88" s="18" t="inlineStr">
        <is>
          <t>Ringan</t>
        </is>
      </c>
    </row>
    <row r="89">
      <c r="A89" s="30" t="n">
        <v>45745</v>
      </c>
      <c r="B89" s="20" t="inlineStr">
        <is>
          <t>Parepare</t>
        </is>
      </c>
      <c r="C89" s="20" t="n">
        <v>20.3</v>
      </c>
      <c r="D89" s="20" t="n">
        <v>29.2</v>
      </c>
      <c r="E89" s="20" t="n">
        <v>79</v>
      </c>
      <c r="F89" s="20" t="n">
        <v>3</v>
      </c>
      <c r="G89" s="20" t="inlineStr">
        <is>
          <t>Lebat</t>
        </is>
      </c>
    </row>
    <row r="90">
      <c r="A90" s="29" t="n">
        <v>45746</v>
      </c>
      <c r="B90" s="18" t="inlineStr">
        <is>
          <t>Parepare</t>
        </is>
      </c>
      <c r="C90" s="18" t="n">
        <v>24.9</v>
      </c>
      <c r="D90" s="18" t="n">
        <v>26</v>
      </c>
      <c r="E90" s="18" t="n">
        <v>85</v>
      </c>
      <c r="F90" s="18" t="n">
        <v>3.2</v>
      </c>
      <c r="G90" s="18" t="inlineStr">
        <is>
          <t>Lebat</t>
        </is>
      </c>
    </row>
    <row r="91">
      <c r="A91" s="30" t="n">
        <v>45747</v>
      </c>
      <c r="B91" s="20" t="inlineStr">
        <is>
          <t>Parepare</t>
        </is>
      </c>
      <c r="C91" s="20" t="n">
        <v>19.8</v>
      </c>
      <c r="D91" s="20" t="n">
        <v>25.7</v>
      </c>
      <c r="E91" s="20" t="n">
        <v>90</v>
      </c>
      <c r="F91" s="20" t="n">
        <v>3.8</v>
      </c>
      <c r="G91" s="20" t="inlineStr">
        <is>
          <t>Sedang</t>
        </is>
      </c>
    </row>
    <row r="92">
      <c r="A92" s="29" t="n">
        <v>45748</v>
      </c>
      <c r="B92" s="18" t="inlineStr">
        <is>
          <t>Parepare</t>
        </is>
      </c>
      <c r="C92" s="18" t="n">
        <v>2.9</v>
      </c>
      <c r="D92" s="18" t="n">
        <v>29</v>
      </c>
      <c r="E92" s="18" t="n">
        <v>74</v>
      </c>
      <c r="F92" s="18" t="n">
        <v>2.3</v>
      </c>
      <c r="G92" s="18" t="inlineStr">
        <is>
          <t>Ringan</t>
        </is>
      </c>
    </row>
    <row r="93">
      <c r="A93" s="30" t="n">
        <v>45749</v>
      </c>
      <c r="B93" s="20" t="inlineStr">
        <is>
          <t>Parepare</t>
        </is>
      </c>
      <c r="C93" s="20" t="n">
        <v>4.8</v>
      </c>
      <c r="D93" s="20" t="n">
        <v>27.6</v>
      </c>
      <c r="E93" s="20" t="n">
        <v>76</v>
      </c>
      <c r="F93" s="20" t="n">
        <v>3.7</v>
      </c>
      <c r="G93" s="20" t="inlineStr">
        <is>
          <t>Ringan</t>
        </is>
      </c>
    </row>
    <row r="94">
      <c r="A94" s="29" t="n">
        <v>45750</v>
      </c>
      <c r="B94" s="18" t="inlineStr">
        <is>
          <t>Parepare</t>
        </is>
      </c>
      <c r="C94" s="18" t="n">
        <v>0</v>
      </c>
      <c r="D94" s="18" t="n">
        <v>26.8</v>
      </c>
      <c r="E94" s="18" t="n">
        <v>65</v>
      </c>
      <c r="F94" s="18" t="n">
        <v>3.6</v>
      </c>
      <c r="G94" s="18" t="inlineStr">
        <is>
          <t>Tidak hujan</t>
        </is>
      </c>
    </row>
    <row r="95">
      <c r="A95" s="30" t="n">
        <v>45751</v>
      </c>
      <c r="B95" s="20" t="inlineStr">
        <is>
          <t>Parepare</t>
        </is>
      </c>
      <c r="C95" s="20" t="n">
        <v>4</v>
      </c>
      <c r="D95" s="20" t="n">
        <v>27.6</v>
      </c>
      <c r="E95" s="20" t="n">
        <v>83</v>
      </c>
      <c r="F95" s="20" t="n">
        <v>3</v>
      </c>
      <c r="G95" s="20" t="inlineStr">
        <is>
          <t>Ringan</t>
        </is>
      </c>
    </row>
    <row r="96">
      <c r="A96" s="29" t="n">
        <v>45752</v>
      </c>
      <c r="B96" s="18" t="inlineStr">
        <is>
          <t>Parepare</t>
        </is>
      </c>
      <c r="C96" s="18" t="n">
        <v>0</v>
      </c>
      <c r="D96" s="18" t="n">
        <v>29.5</v>
      </c>
      <c r="E96" s="18" t="n">
        <v>64</v>
      </c>
      <c r="F96" s="18" t="n">
        <v>2.6</v>
      </c>
      <c r="G96" s="18" t="inlineStr">
        <is>
          <t>Tidak hujan</t>
        </is>
      </c>
    </row>
    <row r="97">
      <c r="A97" s="30" t="n">
        <v>45753</v>
      </c>
      <c r="B97" s="20" t="inlineStr">
        <is>
          <t>Parepare</t>
        </is>
      </c>
      <c r="C97" s="20" t="n">
        <v>12.2</v>
      </c>
      <c r="D97" s="20" t="n">
        <v>28.8</v>
      </c>
      <c r="E97" s="20" t="n">
        <v>78</v>
      </c>
      <c r="F97" s="20" t="n">
        <v>1.9</v>
      </c>
      <c r="G97" s="20" t="inlineStr">
        <is>
          <t>Sedang</t>
        </is>
      </c>
    </row>
    <row r="98">
      <c r="A98" s="29" t="n">
        <v>45754</v>
      </c>
      <c r="B98" s="18" t="inlineStr">
        <is>
          <t>Parepare</t>
        </is>
      </c>
      <c r="C98" s="18" t="n">
        <v>0</v>
      </c>
      <c r="D98" s="18" t="n">
        <v>30.2</v>
      </c>
      <c r="E98" s="18" t="n">
        <v>72</v>
      </c>
      <c r="F98" s="18" t="n">
        <v>3.1</v>
      </c>
      <c r="G98" s="18" t="inlineStr">
        <is>
          <t>Tidak hujan</t>
        </is>
      </c>
    </row>
    <row r="99">
      <c r="A99" s="30" t="n">
        <v>45755</v>
      </c>
      <c r="B99" s="20" t="inlineStr">
        <is>
          <t>Parepare</t>
        </is>
      </c>
      <c r="C99" s="20" t="n">
        <v>0</v>
      </c>
      <c r="D99" s="20" t="n">
        <v>28.8</v>
      </c>
      <c r="E99" s="20" t="n">
        <v>73</v>
      </c>
      <c r="F99" s="20" t="n">
        <v>1.2</v>
      </c>
      <c r="G99" s="20" t="inlineStr">
        <is>
          <t>Tidak hujan</t>
        </is>
      </c>
    </row>
    <row r="100">
      <c r="A100" s="29" t="n">
        <v>45756</v>
      </c>
      <c r="B100" s="18" t="inlineStr">
        <is>
          <t>Parepare</t>
        </is>
      </c>
      <c r="C100" s="18" t="n">
        <v>0</v>
      </c>
      <c r="D100" s="18" t="n">
        <v>30.3</v>
      </c>
      <c r="E100" s="18" t="n">
        <v>68</v>
      </c>
      <c r="F100" s="18" t="n">
        <v>2.1</v>
      </c>
      <c r="G100" s="18" t="inlineStr">
        <is>
          <t>Tidak hujan</t>
        </is>
      </c>
    </row>
    <row r="101">
      <c r="A101" s="30" t="n">
        <v>45757</v>
      </c>
      <c r="B101" s="20" t="inlineStr">
        <is>
          <t>Parepare</t>
        </is>
      </c>
      <c r="C101" s="20" t="n">
        <v>24.1</v>
      </c>
      <c r="D101" s="20" t="n">
        <v>29.4</v>
      </c>
      <c r="E101" s="20" t="n">
        <v>90</v>
      </c>
      <c r="F101" s="20" t="n">
        <v>3.1</v>
      </c>
      <c r="G101" s="20" t="inlineStr">
        <is>
          <t>Lebat</t>
        </is>
      </c>
    </row>
    <row r="102">
      <c r="A102" s="29" t="n">
        <v>45758</v>
      </c>
      <c r="B102" s="18" t="inlineStr">
        <is>
          <t>Parepare</t>
        </is>
      </c>
      <c r="C102" s="18" t="n">
        <v>33.2</v>
      </c>
      <c r="D102" s="18" t="n">
        <v>28.5</v>
      </c>
      <c r="E102" s="18" t="n">
        <v>77</v>
      </c>
      <c r="F102" s="18" t="n">
        <v>4.4</v>
      </c>
      <c r="G102" s="18" t="inlineStr">
        <is>
          <t>Lebat</t>
        </is>
      </c>
    </row>
    <row r="103">
      <c r="A103" s="30" t="n">
        <v>45759</v>
      </c>
      <c r="B103" s="20" t="inlineStr">
        <is>
          <t>Parepare</t>
        </is>
      </c>
      <c r="C103" s="20" t="n">
        <v>11.9</v>
      </c>
      <c r="D103" s="20" t="n">
        <v>29.5</v>
      </c>
      <c r="E103" s="20" t="n">
        <v>79</v>
      </c>
      <c r="F103" s="20" t="n">
        <v>1.9</v>
      </c>
      <c r="G103" s="20" t="inlineStr">
        <is>
          <t>Sedang</t>
        </is>
      </c>
    </row>
    <row r="104">
      <c r="A104" s="29" t="n">
        <v>45760</v>
      </c>
      <c r="B104" s="18" t="inlineStr">
        <is>
          <t>Parepare</t>
        </is>
      </c>
      <c r="C104" s="18" t="n">
        <v>4.9</v>
      </c>
      <c r="D104" s="18" t="n">
        <v>29.2</v>
      </c>
      <c r="E104" s="18" t="n">
        <v>76</v>
      </c>
      <c r="F104" s="18" t="n">
        <v>2.9</v>
      </c>
      <c r="G104" s="18" t="inlineStr">
        <is>
          <t>Ringan</t>
        </is>
      </c>
    </row>
    <row r="105">
      <c r="A105" s="30" t="n">
        <v>45761</v>
      </c>
      <c r="B105" s="20" t="inlineStr">
        <is>
          <t>Parepare</t>
        </is>
      </c>
      <c r="C105" s="20" t="n">
        <v>28.3</v>
      </c>
      <c r="D105" s="20" t="n">
        <v>26.1</v>
      </c>
      <c r="E105" s="20" t="n">
        <v>90</v>
      </c>
      <c r="F105" s="20" t="n">
        <v>3.9</v>
      </c>
      <c r="G105" s="20" t="inlineStr">
        <is>
          <t>Lebat</t>
        </is>
      </c>
    </row>
    <row r="106">
      <c r="A106" s="29" t="n">
        <v>45762</v>
      </c>
      <c r="B106" s="18" t="inlineStr">
        <is>
          <t>Parepare</t>
        </is>
      </c>
      <c r="C106" s="18" t="n">
        <v>2.3</v>
      </c>
      <c r="D106" s="18" t="n">
        <v>28.7</v>
      </c>
      <c r="E106" s="18" t="n">
        <v>82</v>
      </c>
      <c r="F106" s="18" t="n">
        <v>2</v>
      </c>
      <c r="G106" s="18" t="inlineStr">
        <is>
          <t>Ringan</t>
        </is>
      </c>
    </row>
    <row r="107">
      <c r="A107" s="30" t="n">
        <v>45763</v>
      </c>
      <c r="B107" s="20" t="inlineStr">
        <is>
          <t>Parepare</t>
        </is>
      </c>
      <c r="C107" s="20" t="n">
        <v>12.3</v>
      </c>
      <c r="D107" s="20" t="n">
        <v>29.1</v>
      </c>
      <c r="E107" s="20" t="n">
        <v>84</v>
      </c>
      <c r="F107" s="20" t="n">
        <v>2.9</v>
      </c>
      <c r="G107" s="20" t="inlineStr">
        <is>
          <t>Sedang</t>
        </is>
      </c>
    </row>
    <row r="108">
      <c r="A108" s="29" t="n">
        <v>45764</v>
      </c>
      <c r="B108" s="18" t="inlineStr">
        <is>
          <t>Parepare</t>
        </is>
      </c>
      <c r="C108" s="18" t="n">
        <v>1.5</v>
      </c>
      <c r="D108" s="18" t="n">
        <v>27.3</v>
      </c>
      <c r="E108" s="18" t="n">
        <v>81</v>
      </c>
      <c r="F108" s="18" t="n">
        <v>2.1</v>
      </c>
      <c r="G108" s="18" t="inlineStr">
        <is>
          <t>Ringan</t>
        </is>
      </c>
    </row>
    <row r="109">
      <c r="A109" s="30" t="n">
        <v>45765</v>
      </c>
      <c r="B109" s="20" t="inlineStr">
        <is>
          <t>Parepare</t>
        </is>
      </c>
      <c r="C109" s="20" t="n">
        <v>0</v>
      </c>
      <c r="D109" s="20" t="n">
        <v>30</v>
      </c>
      <c r="E109" s="20" t="n">
        <v>61</v>
      </c>
      <c r="F109" s="20" t="n">
        <v>1.7</v>
      </c>
      <c r="G109" s="20" t="inlineStr">
        <is>
          <t>Tidak hujan</t>
        </is>
      </c>
    </row>
    <row r="110">
      <c r="A110" s="29" t="n">
        <v>45766</v>
      </c>
      <c r="B110" s="18" t="inlineStr">
        <is>
          <t>Parepare</t>
        </is>
      </c>
      <c r="C110" s="18" t="n">
        <v>30.4</v>
      </c>
      <c r="D110" s="18" t="n">
        <v>29</v>
      </c>
      <c r="E110" s="18" t="n">
        <v>75</v>
      </c>
      <c r="F110" s="18" t="n">
        <v>4.1</v>
      </c>
      <c r="G110" s="18" t="inlineStr">
        <is>
          <t>Lebat</t>
        </is>
      </c>
    </row>
    <row r="111">
      <c r="A111" s="30" t="n">
        <v>45767</v>
      </c>
      <c r="B111" s="20" t="inlineStr">
        <is>
          <t>Parepare</t>
        </is>
      </c>
      <c r="C111" s="20" t="n">
        <v>0</v>
      </c>
      <c r="D111" s="20" t="n">
        <v>30.1</v>
      </c>
      <c r="E111" s="20" t="n">
        <v>63</v>
      </c>
      <c r="F111" s="20" t="n">
        <v>2</v>
      </c>
      <c r="G111" s="20" t="inlineStr">
        <is>
          <t>Tidak hujan</t>
        </is>
      </c>
    </row>
    <row r="112">
      <c r="A112" s="29" t="n">
        <v>45768</v>
      </c>
      <c r="B112" s="18" t="inlineStr">
        <is>
          <t>Parepare</t>
        </is>
      </c>
      <c r="C112" s="18" t="n">
        <v>0</v>
      </c>
      <c r="D112" s="18" t="n">
        <v>30.5</v>
      </c>
      <c r="E112" s="18" t="n">
        <v>64</v>
      </c>
      <c r="F112" s="18" t="n">
        <v>1.3</v>
      </c>
      <c r="G112" s="18" t="inlineStr">
        <is>
          <t>Tidak hujan</t>
        </is>
      </c>
    </row>
    <row r="113">
      <c r="A113" s="30" t="n">
        <v>45769</v>
      </c>
      <c r="B113" s="20" t="inlineStr">
        <is>
          <t>Parepare</t>
        </is>
      </c>
      <c r="C113" s="20" t="n">
        <v>30.2</v>
      </c>
      <c r="D113" s="20" t="n">
        <v>26.9</v>
      </c>
      <c r="E113" s="20" t="n">
        <v>76</v>
      </c>
      <c r="F113" s="20" t="n">
        <v>3.6</v>
      </c>
      <c r="G113" s="20" t="inlineStr">
        <is>
          <t>Lebat</t>
        </is>
      </c>
    </row>
    <row r="114">
      <c r="A114" s="29" t="n">
        <v>45770</v>
      </c>
      <c r="B114" s="18" t="inlineStr">
        <is>
          <t>Parepare</t>
        </is>
      </c>
      <c r="C114" s="18" t="n">
        <v>4.4</v>
      </c>
      <c r="D114" s="18" t="n">
        <v>29.6</v>
      </c>
      <c r="E114" s="18" t="n">
        <v>72</v>
      </c>
      <c r="F114" s="18" t="n">
        <v>2.2</v>
      </c>
      <c r="G114" s="18" t="inlineStr">
        <is>
          <t>Ringan</t>
        </is>
      </c>
    </row>
    <row r="115">
      <c r="A115" s="30" t="n">
        <v>45771</v>
      </c>
      <c r="B115" s="20" t="inlineStr">
        <is>
          <t>Parepare</t>
        </is>
      </c>
      <c r="C115" s="20" t="n">
        <v>22.4</v>
      </c>
      <c r="D115" s="20" t="n">
        <v>28.4</v>
      </c>
      <c r="E115" s="20" t="n">
        <v>75</v>
      </c>
      <c r="F115" s="20" t="n">
        <v>3.1</v>
      </c>
      <c r="G115" s="20" t="inlineStr">
        <is>
          <t>Lebat</t>
        </is>
      </c>
    </row>
    <row r="116">
      <c r="A116" s="29" t="n">
        <v>45772</v>
      </c>
      <c r="B116" s="18" t="inlineStr">
        <is>
          <t>Parepare</t>
        </is>
      </c>
      <c r="C116" s="18" t="n">
        <v>9.5</v>
      </c>
      <c r="D116" s="18" t="n">
        <v>28.7</v>
      </c>
      <c r="E116" s="18" t="n">
        <v>72</v>
      </c>
      <c r="F116" s="18" t="n">
        <v>2</v>
      </c>
      <c r="G116" s="18" t="inlineStr">
        <is>
          <t>Sedang</t>
        </is>
      </c>
    </row>
    <row r="117">
      <c r="A117" s="30" t="n">
        <v>45773</v>
      </c>
      <c r="B117" s="20" t="inlineStr">
        <is>
          <t>Parepare</t>
        </is>
      </c>
      <c r="C117" s="20" t="n">
        <v>0</v>
      </c>
      <c r="D117" s="20" t="n">
        <v>28.3</v>
      </c>
      <c r="E117" s="20" t="n">
        <v>76</v>
      </c>
      <c r="F117" s="20" t="n">
        <v>1.9</v>
      </c>
      <c r="G117" s="20" t="inlineStr">
        <is>
          <t>Tidak hujan</t>
        </is>
      </c>
    </row>
    <row r="118">
      <c r="A118" s="29" t="n">
        <v>45774</v>
      </c>
      <c r="B118" s="18" t="inlineStr">
        <is>
          <t>Parepare</t>
        </is>
      </c>
      <c r="C118" s="18" t="n">
        <v>9.699999999999999</v>
      </c>
      <c r="D118" s="18" t="n">
        <v>28.3</v>
      </c>
      <c r="E118" s="18" t="n">
        <v>72</v>
      </c>
      <c r="F118" s="18" t="n">
        <v>2.3</v>
      </c>
      <c r="G118" s="18" t="inlineStr">
        <is>
          <t>Sedang</t>
        </is>
      </c>
    </row>
    <row r="119">
      <c r="A119" s="30" t="n">
        <v>45775</v>
      </c>
      <c r="B119" s="20" t="inlineStr">
        <is>
          <t>Parepare</t>
        </is>
      </c>
      <c r="C119" s="20" t="n">
        <v>0</v>
      </c>
      <c r="D119" s="20" t="n">
        <v>29</v>
      </c>
      <c r="E119" s="20" t="n">
        <v>62</v>
      </c>
      <c r="F119" s="20" t="n">
        <v>2.1</v>
      </c>
      <c r="G119" s="20" t="inlineStr">
        <is>
          <t>Tidak hujan</t>
        </is>
      </c>
    </row>
    <row r="120">
      <c r="A120" s="29" t="n">
        <v>45776</v>
      </c>
      <c r="B120" s="18" t="inlineStr">
        <is>
          <t>Parepare</t>
        </is>
      </c>
      <c r="C120" s="18" t="n">
        <v>24.1</v>
      </c>
      <c r="D120" s="18" t="n">
        <v>28.1</v>
      </c>
      <c r="E120" s="18" t="n">
        <v>73</v>
      </c>
      <c r="F120" s="18" t="n">
        <v>3.5</v>
      </c>
      <c r="G120" s="18" t="inlineStr">
        <is>
          <t>Lebat</t>
        </is>
      </c>
    </row>
    <row r="121">
      <c r="A121" s="30" t="n">
        <v>45777</v>
      </c>
      <c r="B121" s="20" t="inlineStr">
        <is>
          <t>Parepare</t>
        </is>
      </c>
      <c r="C121" s="20" t="n">
        <v>3.9</v>
      </c>
      <c r="D121" s="20" t="n">
        <v>29.4</v>
      </c>
      <c r="E121" s="20" t="n">
        <v>78</v>
      </c>
      <c r="F121" s="20" t="n">
        <v>1.7</v>
      </c>
      <c r="G121" s="20" t="inlineStr">
        <is>
          <t>Ringan</t>
        </is>
      </c>
    </row>
    <row r="122">
      <c r="A122" s="29" t="n">
        <v>45778</v>
      </c>
      <c r="B122" s="18" t="inlineStr">
        <is>
          <t>Parepare</t>
        </is>
      </c>
      <c r="C122" s="18" t="n">
        <v>0.4</v>
      </c>
      <c r="D122" s="18" t="n">
        <v>27.7</v>
      </c>
      <c r="E122" s="18" t="n">
        <v>87</v>
      </c>
      <c r="F122" s="18" t="n">
        <v>1.8</v>
      </c>
      <c r="G122" s="18" t="inlineStr">
        <is>
          <t>Ringan</t>
        </is>
      </c>
    </row>
    <row r="123">
      <c r="A123" s="30" t="n">
        <v>45779</v>
      </c>
      <c r="B123" s="20" t="inlineStr">
        <is>
          <t>Parepare</t>
        </is>
      </c>
      <c r="C123" s="20" t="n">
        <v>0</v>
      </c>
      <c r="D123" s="20" t="n">
        <v>29.7</v>
      </c>
      <c r="E123" s="20" t="n">
        <v>60</v>
      </c>
      <c r="F123" s="20" t="n">
        <v>2.1</v>
      </c>
      <c r="G123" s="20" t="inlineStr">
        <is>
          <t>Tidak hujan</t>
        </is>
      </c>
    </row>
    <row r="124">
      <c r="A124" s="29" t="n">
        <v>45780</v>
      </c>
      <c r="B124" s="18" t="inlineStr">
        <is>
          <t>Parepare</t>
        </is>
      </c>
      <c r="C124" s="18" t="n">
        <v>0</v>
      </c>
      <c r="D124" s="18" t="n">
        <v>30.2</v>
      </c>
      <c r="E124" s="18" t="n">
        <v>80</v>
      </c>
      <c r="F124" s="18" t="n">
        <v>4.4</v>
      </c>
      <c r="G124" s="18" t="inlineStr">
        <is>
          <t>Tidak hujan</t>
        </is>
      </c>
    </row>
    <row r="125">
      <c r="A125" s="30" t="n">
        <v>45781</v>
      </c>
      <c r="B125" s="20" t="inlineStr">
        <is>
          <t>Parepare</t>
        </is>
      </c>
      <c r="C125" s="20" t="n">
        <v>7.7</v>
      </c>
      <c r="D125" s="20" t="n">
        <v>30.1</v>
      </c>
      <c r="E125" s="20" t="n">
        <v>83</v>
      </c>
      <c r="F125" s="20" t="n">
        <v>2.8</v>
      </c>
      <c r="G125" s="20" t="inlineStr">
        <is>
          <t>Sedang</t>
        </is>
      </c>
    </row>
    <row r="126">
      <c r="A126" s="29" t="n">
        <v>45782</v>
      </c>
      <c r="B126" s="18" t="inlineStr">
        <is>
          <t>Parepare</t>
        </is>
      </c>
      <c r="C126" s="18" t="n">
        <v>19.5</v>
      </c>
      <c r="D126" s="18" t="n">
        <v>26.6</v>
      </c>
      <c r="E126" s="18" t="n">
        <v>83</v>
      </c>
      <c r="F126" s="18" t="n">
        <v>3.8</v>
      </c>
      <c r="G126" s="18" t="inlineStr">
        <is>
          <t>Sedang</t>
        </is>
      </c>
    </row>
    <row r="127">
      <c r="A127" s="30" t="n">
        <v>45783</v>
      </c>
      <c r="B127" s="20" t="inlineStr">
        <is>
          <t>Parepare</t>
        </is>
      </c>
      <c r="C127" s="20" t="n">
        <v>0</v>
      </c>
      <c r="D127" s="20" t="n">
        <v>27.3</v>
      </c>
      <c r="E127" s="20" t="n">
        <v>72</v>
      </c>
      <c r="F127" s="20" t="n">
        <v>3.2</v>
      </c>
      <c r="G127" s="20" t="inlineStr">
        <is>
          <t>Tidak hujan</t>
        </is>
      </c>
    </row>
    <row r="128">
      <c r="A128" s="29" t="n">
        <v>45784</v>
      </c>
      <c r="B128" s="18" t="inlineStr">
        <is>
          <t>Parepare</t>
        </is>
      </c>
      <c r="C128" s="18" t="n">
        <v>0</v>
      </c>
      <c r="D128" s="18" t="n">
        <v>28.9</v>
      </c>
      <c r="E128" s="18" t="n">
        <v>80</v>
      </c>
      <c r="F128" s="18" t="n">
        <v>1.3</v>
      </c>
      <c r="G128" s="18" t="inlineStr">
        <is>
          <t>Tidak hujan</t>
        </is>
      </c>
    </row>
    <row r="129">
      <c r="A129" s="30" t="n">
        <v>45785</v>
      </c>
      <c r="B129" s="20" t="inlineStr">
        <is>
          <t>Parepare</t>
        </is>
      </c>
      <c r="C129" s="20" t="n">
        <v>8.5</v>
      </c>
      <c r="D129" s="20" t="n">
        <v>28.6</v>
      </c>
      <c r="E129" s="20" t="n">
        <v>70</v>
      </c>
      <c r="F129" s="20" t="n">
        <v>3.2</v>
      </c>
      <c r="G129" s="20" t="inlineStr">
        <is>
          <t>Sedang</t>
        </is>
      </c>
    </row>
    <row r="130">
      <c r="A130" s="29" t="n">
        <v>45786</v>
      </c>
      <c r="B130" s="18" t="inlineStr">
        <is>
          <t>Parepare</t>
        </is>
      </c>
      <c r="C130" s="18" t="n">
        <v>1.1</v>
      </c>
      <c r="D130" s="18" t="n">
        <v>27.7</v>
      </c>
      <c r="E130" s="18" t="n">
        <v>76</v>
      </c>
      <c r="F130" s="18" t="n">
        <v>1.8</v>
      </c>
      <c r="G130" s="18" t="inlineStr">
        <is>
          <t>Ringan</t>
        </is>
      </c>
    </row>
    <row r="131">
      <c r="A131" s="30" t="n">
        <v>45787</v>
      </c>
      <c r="B131" s="20" t="inlineStr">
        <is>
          <t>Parepare</t>
        </is>
      </c>
      <c r="C131" s="20" t="n">
        <v>22.7</v>
      </c>
      <c r="D131" s="20" t="n">
        <v>29.8</v>
      </c>
      <c r="E131" s="20" t="n">
        <v>73</v>
      </c>
      <c r="F131" s="20" t="n">
        <v>2.6</v>
      </c>
      <c r="G131" s="20" t="inlineStr">
        <is>
          <t>Lebat</t>
        </is>
      </c>
    </row>
    <row r="132">
      <c r="A132" s="29" t="n">
        <v>45788</v>
      </c>
      <c r="B132" s="18" t="inlineStr">
        <is>
          <t>Parepare</t>
        </is>
      </c>
      <c r="C132" s="18" t="n">
        <v>1.3</v>
      </c>
      <c r="D132" s="18" t="n">
        <v>30.5</v>
      </c>
      <c r="E132" s="18" t="n">
        <v>73</v>
      </c>
      <c r="F132" s="18" t="n">
        <v>1.2</v>
      </c>
      <c r="G132" s="18" t="inlineStr">
        <is>
          <t>Ringan</t>
        </is>
      </c>
    </row>
    <row r="133">
      <c r="A133" s="30" t="n">
        <v>45789</v>
      </c>
      <c r="B133" s="20" t="inlineStr">
        <is>
          <t>Parepare</t>
        </is>
      </c>
      <c r="C133" s="20" t="n">
        <v>31.9</v>
      </c>
      <c r="D133" s="20" t="n">
        <v>26.7</v>
      </c>
      <c r="E133" s="20" t="n">
        <v>83</v>
      </c>
      <c r="F133" s="20" t="n">
        <v>4.4</v>
      </c>
      <c r="G133" s="20" t="inlineStr">
        <is>
          <t>Lebat</t>
        </is>
      </c>
    </row>
    <row r="134">
      <c r="A134" s="29" t="n">
        <v>45790</v>
      </c>
      <c r="B134" s="18" t="inlineStr">
        <is>
          <t>Parepare</t>
        </is>
      </c>
      <c r="C134" s="18" t="n">
        <v>0</v>
      </c>
      <c r="D134" s="18" t="n">
        <v>31.2</v>
      </c>
      <c r="E134" s="18" t="n">
        <v>70</v>
      </c>
      <c r="F134" s="18" t="n">
        <v>2.3</v>
      </c>
      <c r="G134" s="18" t="inlineStr">
        <is>
          <t>Tidak hujan</t>
        </is>
      </c>
    </row>
    <row r="135">
      <c r="A135" s="30" t="n">
        <v>45791</v>
      </c>
      <c r="B135" s="20" t="inlineStr">
        <is>
          <t>Parepare</t>
        </is>
      </c>
      <c r="C135" s="20" t="n">
        <v>3.4</v>
      </c>
      <c r="D135" s="20" t="n">
        <v>29.6</v>
      </c>
      <c r="E135" s="20" t="n">
        <v>84</v>
      </c>
      <c r="F135" s="20" t="n">
        <v>3.2</v>
      </c>
      <c r="G135" s="20" t="inlineStr">
        <is>
          <t>Ringan</t>
        </is>
      </c>
    </row>
    <row r="136">
      <c r="A136" s="29" t="n">
        <v>45792</v>
      </c>
      <c r="B136" s="18" t="inlineStr">
        <is>
          <t>Parepare</t>
        </is>
      </c>
      <c r="C136" s="18" t="n">
        <v>0</v>
      </c>
      <c r="D136" s="18" t="n">
        <v>29</v>
      </c>
      <c r="E136" s="18" t="n">
        <v>74</v>
      </c>
      <c r="F136" s="18" t="n">
        <v>1.6</v>
      </c>
      <c r="G136" s="18" t="inlineStr">
        <is>
          <t>Tidak hujan</t>
        </is>
      </c>
    </row>
    <row r="137">
      <c r="A137" s="30" t="n">
        <v>45793</v>
      </c>
      <c r="B137" s="20" t="inlineStr">
        <is>
          <t>Parepare</t>
        </is>
      </c>
      <c r="C137" s="20" t="n">
        <v>0</v>
      </c>
      <c r="D137" s="20" t="n">
        <v>27.6</v>
      </c>
      <c r="E137" s="20" t="n">
        <v>62</v>
      </c>
      <c r="F137" s="20" t="n">
        <v>3.2</v>
      </c>
      <c r="G137" s="20" t="inlineStr">
        <is>
          <t>Tidak hujan</t>
        </is>
      </c>
    </row>
    <row r="138">
      <c r="A138" s="29" t="n">
        <v>45794</v>
      </c>
      <c r="B138" s="18" t="inlineStr">
        <is>
          <t>Parepare</t>
        </is>
      </c>
      <c r="C138" s="18" t="n">
        <v>0</v>
      </c>
      <c r="D138" s="18" t="n">
        <v>29.5</v>
      </c>
      <c r="E138" s="18" t="n">
        <v>75</v>
      </c>
      <c r="F138" s="18" t="n">
        <v>2.9</v>
      </c>
      <c r="G138" s="18" t="inlineStr">
        <is>
          <t>Tidak hujan</t>
        </is>
      </c>
    </row>
    <row r="139">
      <c r="A139" s="30" t="n">
        <v>45795</v>
      </c>
      <c r="B139" s="20" t="inlineStr">
        <is>
          <t>Parepare</t>
        </is>
      </c>
      <c r="C139" s="20" t="n">
        <v>3.9</v>
      </c>
      <c r="D139" s="20" t="n">
        <v>31.5</v>
      </c>
      <c r="E139" s="20" t="n">
        <v>74</v>
      </c>
      <c r="F139" s="20" t="n">
        <v>2.8</v>
      </c>
      <c r="G139" s="20" t="inlineStr">
        <is>
          <t>Ringan</t>
        </is>
      </c>
    </row>
    <row r="140">
      <c r="A140" s="29" t="n">
        <v>45796</v>
      </c>
      <c r="B140" s="18" t="inlineStr">
        <is>
          <t>Parepare</t>
        </is>
      </c>
      <c r="C140" s="18" t="n">
        <v>6.1</v>
      </c>
      <c r="D140" s="18" t="n">
        <v>28.8</v>
      </c>
      <c r="E140" s="18" t="n">
        <v>70</v>
      </c>
      <c r="F140" s="18" t="n">
        <v>2.8</v>
      </c>
      <c r="G140" s="18" t="inlineStr">
        <is>
          <t>Sedang</t>
        </is>
      </c>
    </row>
    <row r="141">
      <c r="A141" s="30" t="n">
        <v>45797</v>
      </c>
      <c r="B141" s="20" t="inlineStr">
        <is>
          <t>Parepare</t>
        </is>
      </c>
      <c r="C141" s="20" t="n">
        <v>0</v>
      </c>
      <c r="D141" s="20" t="n">
        <v>28.8</v>
      </c>
      <c r="E141" s="20" t="n">
        <v>78</v>
      </c>
      <c r="F141" s="20" t="n">
        <v>2.2</v>
      </c>
      <c r="G141" s="20" t="inlineStr">
        <is>
          <t>Tidak hujan</t>
        </is>
      </c>
    </row>
    <row r="142">
      <c r="A142" s="29" t="n">
        <v>45798</v>
      </c>
      <c r="B142" s="18" t="inlineStr">
        <is>
          <t>Parepare</t>
        </is>
      </c>
      <c r="C142" s="18" t="n">
        <v>0</v>
      </c>
      <c r="D142" s="18" t="n">
        <v>29.8</v>
      </c>
      <c r="E142" s="18" t="n">
        <v>70</v>
      </c>
      <c r="F142" s="18" t="n">
        <v>1.1</v>
      </c>
      <c r="G142" s="18" t="inlineStr">
        <is>
          <t>Tidak hujan</t>
        </is>
      </c>
    </row>
    <row r="143">
      <c r="A143" s="30" t="n">
        <v>45799</v>
      </c>
      <c r="B143" s="20" t="inlineStr">
        <is>
          <t>Parepare</t>
        </is>
      </c>
      <c r="C143" s="20" t="n">
        <v>24</v>
      </c>
      <c r="D143" s="20" t="n">
        <v>30.6</v>
      </c>
      <c r="E143" s="20" t="n">
        <v>74</v>
      </c>
      <c r="F143" s="20" t="n">
        <v>4.9</v>
      </c>
      <c r="G143" s="20" t="inlineStr">
        <is>
          <t>Lebat</t>
        </is>
      </c>
    </row>
    <row r="144">
      <c r="A144" s="29" t="n">
        <v>45800</v>
      </c>
      <c r="B144" s="18" t="inlineStr">
        <is>
          <t>Parepare</t>
        </is>
      </c>
      <c r="C144" s="18" t="n">
        <v>0</v>
      </c>
      <c r="D144" s="18" t="n">
        <v>27.8</v>
      </c>
      <c r="E144" s="18" t="n">
        <v>66</v>
      </c>
      <c r="F144" s="18" t="n">
        <v>2.8</v>
      </c>
      <c r="G144" s="18" t="inlineStr">
        <is>
          <t>Tidak hujan</t>
        </is>
      </c>
    </row>
    <row r="145">
      <c r="A145" s="30" t="n">
        <v>45801</v>
      </c>
      <c r="B145" s="20" t="inlineStr">
        <is>
          <t>Parepare</t>
        </is>
      </c>
      <c r="C145" s="20" t="n">
        <v>24.3</v>
      </c>
      <c r="D145" s="20" t="n">
        <v>27.3</v>
      </c>
      <c r="E145" s="20" t="n">
        <v>76</v>
      </c>
      <c r="F145" s="20" t="n">
        <v>2.1</v>
      </c>
      <c r="G145" s="20" t="inlineStr">
        <is>
          <t>Lebat</t>
        </is>
      </c>
    </row>
    <row r="146">
      <c r="A146" s="29" t="n">
        <v>45802</v>
      </c>
      <c r="B146" s="18" t="inlineStr">
        <is>
          <t>Parepare</t>
        </is>
      </c>
      <c r="C146" s="18" t="n">
        <v>0</v>
      </c>
      <c r="D146" s="18" t="n">
        <v>29</v>
      </c>
      <c r="E146" s="18" t="n">
        <v>67</v>
      </c>
      <c r="F146" s="18" t="n">
        <v>5</v>
      </c>
      <c r="G146" s="18" t="inlineStr">
        <is>
          <t>Tidak hujan</t>
        </is>
      </c>
    </row>
    <row r="147">
      <c r="A147" s="30" t="n">
        <v>45803</v>
      </c>
      <c r="B147" s="20" t="inlineStr">
        <is>
          <t>Parepare</t>
        </is>
      </c>
      <c r="C147" s="20" t="n">
        <v>0</v>
      </c>
      <c r="D147" s="20" t="n">
        <v>29.5</v>
      </c>
      <c r="E147" s="20" t="n">
        <v>78</v>
      </c>
      <c r="F147" s="20" t="n">
        <v>4.1</v>
      </c>
      <c r="G147" s="20" t="inlineStr">
        <is>
          <t>Tidak hujan</t>
        </is>
      </c>
    </row>
    <row r="148">
      <c r="A148" s="29" t="n">
        <v>45804</v>
      </c>
      <c r="B148" s="18" t="inlineStr">
        <is>
          <t>Parepare</t>
        </is>
      </c>
      <c r="C148" s="18" t="n">
        <v>0</v>
      </c>
      <c r="D148" s="18" t="n">
        <v>28.6</v>
      </c>
      <c r="E148" s="18" t="n">
        <v>76</v>
      </c>
      <c r="F148" s="18" t="n">
        <v>1.4</v>
      </c>
      <c r="G148" s="18" t="inlineStr">
        <is>
          <t>Tidak hujan</t>
        </is>
      </c>
    </row>
    <row r="149">
      <c r="A149" s="30" t="n">
        <v>45805</v>
      </c>
      <c r="B149" s="20" t="inlineStr">
        <is>
          <t>Parepare</t>
        </is>
      </c>
      <c r="C149" s="20" t="n">
        <v>7</v>
      </c>
      <c r="D149" s="20" t="n">
        <v>29.6</v>
      </c>
      <c r="E149" s="20" t="n">
        <v>77</v>
      </c>
      <c r="F149" s="20" t="n">
        <v>1.9</v>
      </c>
      <c r="G149" s="20" t="inlineStr">
        <is>
          <t>Sedang</t>
        </is>
      </c>
    </row>
    <row r="150">
      <c r="A150" s="29" t="n">
        <v>45806</v>
      </c>
      <c r="B150" s="18" t="inlineStr">
        <is>
          <t>Parepare</t>
        </is>
      </c>
      <c r="C150" s="18" t="n">
        <v>0</v>
      </c>
      <c r="D150" s="18" t="n">
        <v>30</v>
      </c>
      <c r="E150" s="18" t="n">
        <v>61</v>
      </c>
      <c r="F150" s="18" t="n">
        <v>2.5</v>
      </c>
      <c r="G150" s="18" t="inlineStr">
        <is>
          <t>Tidak hujan</t>
        </is>
      </c>
    </row>
    <row r="151">
      <c r="A151" s="30" t="n">
        <v>45807</v>
      </c>
      <c r="B151" s="20" t="inlineStr">
        <is>
          <t>Parepare</t>
        </is>
      </c>
      <c r="C151" s="20" t="n">
        <v>0</v>
      </c>
      <c r="D151" s="20" t="n">
        <v>27.8</v>
      </c>
      <c r="E151" s="20" t="n">
        <v>68</v>
      </c>
      <c r="F151" s="20" t="n">
        <v>3.4</v>
      </c>
      <c r="G151" s="20" t="inlineStr">
        <is>
          <t>Tidak hujan</t>
        </is>
      </c>
    </row>
    <row r="152">
      <c r="A152" s="29" t="n">
        <v>45808</v>
      </c>
      <c r="B152" s="18" t="inlineStr">
        <is>
          <t>Parepare</t>
        </is>
      </c>
      <c r="C152" s="18" t="n">
        <v>0</v>
      </c>
      <c r="D152" s="18" t="n">
        <v>29</v>
      </c>
      <c r="E152" s="18" t="n">
        <v>73</v>
      </c>
      <c r="F152" s="18" t="n">
        <v>3.4</v>
      </c>
      <c r="G152" s="18" t="inlineStr">
        <is>
          <t>Tidak hujan</t>
        </is>
      </c>
    </row>
    <row r="153">
      <c r="A153" s="30" t="n">
        <v>45809</v>
      </c>
      <c r="B153" s="20" t="inlineStr">
        <is>
          <t>Parepare</t>
        </is>
      </c>
      <c r="C153" s="20" t="n">
        <v>1.3</v>
      </c>
      <c r="D153" s="20" t="n">
        <v>30.1</v>
      </c>
      <c r="E153" s="20" t="n">
        <v>72</v>
      </c>
      <c r="F153" s="20" t="n">
        <v>3.7</v>
      </c>
      <c r="G153" s="20" t="inlineStr">
        <is>
          <t>Ringan</t>
        </is>
      </c>
    </row>
    <row r="154">
      <c r="A154" s="29" t="n">
        <v>45810</v>
      </c>
      <c r="B154" s="18" t="inlineStr">
        <is>
          <t>Parepare</t>
        </is>
      </c>
      <c r="C154" s="18" t="n">
        <v>0</v>
      </c>
      <c r="D154" s="18" t="n">
        <v>31.8</v>
      </c>
      <c r="E154" s="18" t="n">
        <v>73</v>
      </c>
      <c r="F154" s="18" t="n">
        <v>3.6</v>
      </c>
      <c r="G154" s="18" t="inlineStr">
        <is>
          <t>Tidak hujan</t>
        </is>
      </c>
    </row>
    <row r="155">
      <c r="A155" s="30" t="n">
        <v>45811</v>
      </c>
      <c r="B155" s="20" t="inlineStr">
        <is>
          <t>Parepare</t>
        </is>
      </c>
      <c r="C155" s="20" t="n">
        <v>0</v>
      </c>
      <c r="D155" s="20" t="n">
        <v>29.7</v>
      </c>
      <c r="E155" s="20" t="n">
        <v>63</v>
      </c>
      <c r="F155" s="20" t="n">
        <v>2.7</v>
      </c>
      <c r="G155" s="20" t="inlineStr">
        <is>
          <t>Tidak hujan</t>
        </is>
      </c>
    </row>
    <row r="156">
      <c r="A156" s="29" t="n">
        <v>45812</v>
      </c>
      <c r="B156" s="18" t="inlineStr">
        <is>
          <t>Parepare</t>
        </is>
      </c>
      <c r="C156" s="18" t="n">
        <v>6.1</v>
      </c>
      <c r="D156" s="18" t="n">
        <v>31.4</v>
      </c>
      <c r="E156" s="18" t="n">
        <v>77</v>
      </c>
      <c r="F156" s="18" t="n">
        <v>2.3</v>
      </c>
      <c r="G156" s="18" t="inlineStr">
        <is>
          <t>Sedang</t>
        </is>
      </c>
    </row>
    <row r="157">
      <c r="A157" s="30" t="n">
        <v>45813</v>
      </c>
      <c r="B157" s="20" t="inlineStr">
        <is>
          <t>Parepare</t>
        </is>
      </c>
      <c r="C157" s="20" t="n">
        <v>5.8</v>
      </c>
      <c r="D157" s="20" t="n">
        <v>31.4</v>
      </c>
      <c r="E157" s="20" t="n">
        <v>84</v>
      </c>
      <c r="F157" s="20" t="n">
        <v>3.3</v>
      </c>
      <c r="G157" s="20" t="inlineStr">
        <is>
          <t>Sedang</t>
        </is>
      </c>
    </row>
    <row r="158">
      <c r="A158" s="29" t="n">
        <v>45814</v>
      </c>
      <c r="B158" s="18" t="inlineStr">
        <is>
          <t>Parepare</t>
        </is>
      </c>
      <c r="C158" s="18" t="n">
        <v>0</v>
      </c>
      <c r="D158" s="18" t="n">
        <v>31</v>
      </c>
      <c r="E158" s="18" t="n">
        <v>60</v>
      </c>
      <c r="F158" s="18" t="n">
        <v>1.7</v>
      </c>
      <c r="G158" s="18" t="inlineStr">
        <is>
          <t>Tidak hujan</t>
        </is>
      </c>
    </row>
    <row r="159">
      <c r="A159" s="30" t="n">
        <v>45815</v>
      </c>
      <c r="B159" s="20" t="inlineStr">
        <is>
          <t>Parepare</t>
        </is>
      </c>
      <c r="C159" s="20" t="n">
        <v>0</v>
      </c>
      <c r="D159" s="20" t="n">
        <v>28.9</v>
      </c>
      <c r="E159" s="20" t="n">
        <v>62</v>
      </c>
      <c r="F159" s="20" t="n">
        <v>1.8</v>
      </c>
      <c r="G159" s="20" t="inlineStr">
        <is>
          <t>Tidak hujan</t>
        </is>
      </c>
    </row>
    <row r="160">
      <c r="A160" s="29" t="n">
        <v>45816</v>
      </c>
      <c r="B160" s="18" t="inlineStr">
        <is>
          <t>Parepare</t>
        </is>
      </c>
      <c r="C160" s="18" t="n">
        <v>8.5</v>
      </c>
      <c r="D160" s="18" t="n">
        <v>29.8</v>
      </c>
      <c r="E160" s="18" t="n">
        <v>74</v>
      </c>
      <c r="F160" s="18" t="n">
        <v>2.3</v>
      </c>
      <c r="G160" s="18" t="inlineStr">
        <is>
          <t>Sedang</t>
        </is>
      </c>
    </row>
    <row r="161">
      <c r="A161" s="30" t="n">
        <v>45817</v>
      </c>
      <c r="B161" s="20" t="inlineStr">
        <is>
          <t>Parepare</t>
        </is>
      </c>
      <c r="C161" s="20" t="n">
        <v>0</v>
      </c>
      <c r="D161" s="20" t="n">
        <v>28</v>
      </c>
      <c r="E161" s="20" t="n">
        <v>62</v>
      </c>
      <c r="F161" s="20" t="n">
        <v>1.9</v>
      </c>
      <c r="G161" s="20" t="inlineStr">
        <is>
          <t>Tidak hujan</t>
        </is>
      </c>
    </row>
    <row r="162">
      <c r="A162" s="29" t="n">
        <v>45818</v>
      </c>
      <c r="B162" s="18" t="inlineStr">
        <is>
          <t>Parepare</t>
        </is>
      </c>
      <c r="C162" s="18" t="n">
        <v>0</v>
      </c>
      <c r="D162" s="18" t="n">
        <v>29.3</v>
      </c>
      <c r="E162" s="18" t="n">
        <v>75</v>
      </c>
      <c r="F162" s="18" t="n">
        <v>2.7</v>
      </c>
      <c r="G162" s="18" t="inlineStr">
        <is>
          <t>Tidak hujan</t>
        </is>
      </c>
    </row>
    <row r="163">
      <c r="A163" s="30" t="n">
        <v>45819</v>
      </c>
      <c r="B163" s="20" t="inlineStr">
        <is>
          <t>Parepare</t>
        </is>
      </c>
      <c r="C163" s="20" t="n">
        <v>0</v>
      </c>
      <c r="D163" s="20" t="n">
        <v>29.9</v>
      </c>
      <c r="E163" s="20" t="n">
        <v>80</v>
      </c>
      <c r="F163" s="20" t="n">
        <v>3</v>
      </c>
      <c r="G163" s="20" t="inlineStr">
        <is>
          <t>Tidak hujan</t>
        </is>
      </c>
    </row>
    <row r="164">
      <c r="A164" s="29" t="n">
        <v>45820</v>
      </c>
      <c r="B164" s="18" t="inlineStr">
        <is>
          <t>Parepare</t>
        </is>
      </c>
      <c r="C164" s="18" t="n">
        <v>5.8</v>
      </c>
      <c r="D164" s="18" t="n">
        <v>31.2</v>
      </c>
      <c r="E164" s="18" t="n">
        <v>75</v>
      </c>
      <c r="F164" s="18" t="n">
        <v>2</v>
      </c>
      <c r="G164" s="18" t="inlineStr">
        <is>
          <t>Sedang</t>
        </is>
      </c>
    </row>
    <row r="165">
      <c r="A165" s="30" t="n">
        <v>45821</v>
      </c>
      <c r="B165" s="20" t="inlineStr">
        <is>
          <t>Parepare</t>
        </is>
      </c>
      <c r="C165" s="20" t="n">
        <v>0</v>
      </c>
      <c r="D165" s="20" t="n">
        <v>30.3</v>
      </c>
      <c r="E165" s="20" t="n">
        <v>61</v>
      </c>
      <c r="F165" s="20" t="n">
        <v>2.9</v>
      </c>
      <c r="G165" s="20" t="inlineStr">
        <is>
          <t>Tidak hujan</t>
        </is>
      </c>
    </row>
    <row r="166">
      <c r="A166" s="29" t="n">
        <v>45822</v>
      </c>
      <c r="B166" s="18" t="inlineStr">
        <is>
          <t>Parepare</t>
        </is>
      </c>
      <c r="C166" s="18" t="n">
        <v>8.1</v>
      </c>
      <c r="D166" s="18" t="n">
        <v>29.1</v>
      </c>
      <c r="E166" s="18" t="n">
        <v>71</v>
      </c>
      <c r="F166" s="18" t="n">
        <v>2</v>
      </c>
      <c r="G166" s="18" t="inlineStr">
        <is>
          <t>Sedang</t>
        </is>
      </c>
    </row>
    <row r="167">
      <c r="A167" s="30" t="n">
        <v>45823</v>
      </c>
      <c r="B167" s="20" t="inlineStr">
        <is>
          <t>Parepare</t>
        </is>
      </c>
      <c r="C167" s="20" t="n">
        <v>0</v>
      </c>
      <c r="D167" s="20" t="n">
        <v>28.4</v>
      </c>
      <c r="E167" s="20" t="n">
        <v>69</v>
      </c>
      <c r="F167" s="20" t="n">
        <v>3.4</v>
      </c>
      <c r="G167" s="20" t="inlineStr">
        <is>
          <t>Tidak hujan</t>
        </is>
      </c>
    </row>
    <row r="168">
      <c r="A168" s="29" t="n">
        <v>45824</v>
      </c>
      <c r="B168" s="18" t="inlineStr">
        <is>
          <t>Parepare</t>
        </is>
      </c>
      <c r="C168" s="18" t="n">
        <v>17.1</v>
      </c>
      <c r="D168" s="18" t="n">
        <v>27.3</v>
      </c>
      <c r="E168" s="18" t="n">
        <v>88</v>
      </c>
      <c r="F168" s="18" t="n">
        <v>4</v>
      </c>
      <c r="G168" s="18" t="inlineStr">
        <is>
          <t>Sedang</t>
        </is>
      </c>
    </row>
    <row r="169">
      <c r="A169" s="30" t="n">
        <v>45825</v>
      </c>
      <c r="B169" s="20" t="inlineStr">
        <is>
          <t>Parepare</t>
        </is>
      </c>
      <c r="C169" s="20" t="n">
        <v>0</v>
      </c>
      <c r="D169" s="20" t="n">
        <v>30.6</v>
      </c>
      <c r="E169" s="20" t="n">
        <v>62</v>
      </c>
      <c r="F169" s="20" t="n">
        <v>2.6</v>
      </c>
      <c r="G169" s="20" t="inlineStr">
        <is>
          <t>Tidak hujan</t>
        </is>
      </c>
    </row>
    <row r="170">
      <c r="A170" s="29" t="n">
        <v>45826</v>
      </c>
      <c r="B170" s="18" t="inlineStr">
        <is>
          <t>Parepare</t>
        </is>
      </c>
      <c r="C170" s="18" t="n">
        <v>0</v>
      </c>
      <c r="D170" s="18" t="n">
        <v>29.5</v>
      </c>
      <c r="E170" s="18" t="n">
        <v>61</v>
      </c>
      <c r="F170" s="18" t="n">
        <v>1.2</v>
      </c>
      <c r="G170" s="18" t="inlineStr">
        <is>
          <t>Tidak hujan</t>
        </is>
      </c>
    </row>
    <row r="171">
      <c r="A171" s="30" t="n">
        <v>45827</v>
      </c>
      <c r="B171" s="20" t="inlineStr">
        <is>
          <t>Parepare</t>
        </is>
      </c>
      <c r="C171" s="20" t="n">
        <v>1.9</v>
      </c>
      <c r="D171" s="20" t="n">
        <v>30.2</v>
      </c>
      <c r="E171" s="20" t="n">
        <v>87</v>
      </c>
      <c r="F171" s="20" t="n">
        <v>2.3</v>
      </c>
      <c r="G171" s="20" t="inlineStr">
        <is>
          <t>Ringan</t>
        </is>
      </c>
    </row>
    <row r="172">
      <c r="A172" s="29" t="n">
        <v>45828</v>
      </c>
      <c r="B172" s="18" t="inlineStr">
        <is>
          <t>Parepare</t>
        </is>
      </c>
      <c r="C172" s="18" t="n">
        <v>0</v>
      </c>
      <c r="D172" s="18" t="n">
        <v>28.4</v>
      </c>
      <c r="E172" s="18" t="n">
        <v>61</v>
      </c>
      <c r="F172" s="18" t="n">
        <v>2.9</v>
      </c>
      <c r="G172" s="18" t="inlineStr">
        <is>
          <t>Tidak hujan</t>
        </is>
      </c>
    </row>
    <row r="173">
      <c r="A173" s="30" t="n">
        <v>45829</v>
      </c>
      <c r="B173" s="20" t="inlineStr">
        <is>
          <t>Parepare</t>
        </is>
      </c>
      <c r="C173" s="20" t="n">
        <v>0</v>
      </c>
      <c r="D173" s="20" t="n">
        <v>29.6</v>
      </c>
      <c r="E173" s="20" t="n">
        <v>73</v>
      </c>
      <c r="F173" s="20" t="n">
        <v>2.4</v>
      </c>
      <c r="G173" s="20" t="inlineStr">
        <is>
          <t>Tidak hujan</t>
        </is>
      </c>
    </row>
    <row r="174">
      <c r="A174" s="29" t="n">
        <v>45830</v>
      </c>
      <c r="B174" s="18" t="inlineStr">
        <is>
          <t>Parepare</t>
        </is>
      </c>
      <c r="C174" s="18" t="n">
        <v>15.9</v>
      </c>
      <c r="D174" s="18" t="n">
        <v>29.7</v>
      </c>
      <c r="E174" s="18" t="n">
        <v>76</v>
      </c>
      <c r="F174" s="18" t="n">
        <v>3.5</v>
      </c>
      <c r="G174" s="18" t="inlineStr">
        <is>
          <t>Sedang</t>
        </is>
      </c>
    </row>
    <row r="175">
      <c r="A175" s="30" t="n">
        <v>45831</v>
      </c>
      <c r="B175" s="20" t="inlineStr">
        <is>
          <t>Parepare</t>
        </is>
      </c>
      <c r="C175" s="20" t="n">
        <v>3.4</v>
      </c>
      <c r="D175" s="20" t="n">
        <v>28</v>
      </c>
      <c r="E175" s="20" t="n">
        <v>80</v>
      </c>
      <c r="F175" s="20" t="n">
        <v>3.1</v>
      </c>
      <c r="G175" s="20" t="inlineStr">
        <is>
          <t>Ringan</t>
        </is>
      </c>
    </row>
    <row r="176">
      <c r="A176" s="29" t="n">
        <v>45832</v>
      </c>
      <c r="B176" s="18" t="inlineStr">
        <is>
          <t>Parepare</t>
        </is>
      </c>
      <c r="C176" s="18" t="n">
        <v>0</v>
      </c>
      <c r="D176" s="18" t="n">
        <v>30.8</v>
      </c>
      <c r="E176" s="18" t="n">
        <v>66</v>
      </c>
      <c r="F176" s="18" t="n">
        <v>3.5</v>
      </c>
      <c r="G176" s="18" t="inlineStr">
        <is>
          <t>Tidak hujan</t>
        </is>
      </c>
    </row>
    <row r="177">
      <c r="A177" s="30" t="n">
        <v>45833</v>
      </c>
      <c r="B177" s="20" t="inlineStr">
        <is>
          <t>Parepare</t>
        </is>
      </c>
      <c r="C177" s="20" t="n">
        <v>9.699999999999999</v>
      </c>
      <c r="D177" s="20" t="n">
        <v>31.8</v>
      </c>
      <c r="E177" s="20" t="n">
        <v>74</v>
      </c>
      <c r="F177" s="20" t="n">
        <v>3.1</v>
      </c>
      <c r="G177" s="20" t="inlineStr">
        <is>
          <t>Sedang</t>
        </is>
      </c>
    </row>
    <row r="178">
      <c r="A178" s="29" t="n">
        <v>45834</v>
      </c>
      <c r="B178" s="18" t="inlineStr">
        <is>
          <t>Parepare</t>
        </is>
      </c>
      <c r="C178" s="18" t="n">
        <v>13</v>
      </c>
      <c r="D178" s="18" t="n">
        <v>29.9</v>
      </c>
      <c r="E178" s="18" t="n">
        <v>83</v>
      </c>
      <c r="F178" s="18" t="n">
        <v>1.4</v>
      </c>
      <c r="G178" s="18" t="inlineStr">
        <is>
          <t>Sedang</t>
        </is>
      </c>
    </row>
    <row r="179">
      <c r="A179" s="30" t="n">
        <v>45835</v>
      </c>
      <c r="B179" s="20" t="inlineStr">
        <is>
          <t>Parepare</t>
        </is>
      </c>
      <c r="C179" s="20" t="n">
        <v>13.9</v>
      </c>
      <c r="D179" s="20" t="n">
        <v>30.8</v>
      </c>
      <c r="E179" s="20" t="n">
        <v>74</v>
      </c>
      <c r="F179" s="20" t="n">
        <v>1.8</v>
      </c>
      <c r="G179" s="20" t="inlineStr">
        <is>
          <t>Sedang</t>
        </is>
      </c>
    </row>
    <row r="180">
      <c r="A180" s="29" t="n">
        <v>45836</v>
      </c>
      <c r="B180" s="18" t="inlineStr">
        <is>
          <t>Parepare</t>
        </is>
      </c>
      <c r="C180" s="18" t="n">
        <v>0</v>
      </c>
      <c r="D180" s="18" t="n">
        <v>27.9</v>
      </c>
      <c r="E180" s="18" t="n">
        <v>74</v>
      </c>
      <c r="F180" s="18" t="n">
        <v>2.2</v>
      </c>
      <c r="G180" s="18" t="inlineStr">
        <is>
          <t>Tidak hujan</t>
        </is>
      </c>
    </row>
    <row r="181">
      <c r="A181" s="30" t="n">
        <v>45837</v>
      </c>
      <c r="B181" s="20" t="inlineStr">
        <is>
          <t>Parepare</t>
        </is>
      </c>
      <c r="C181" s="20" t="n">
        <v>0</v>
      </c>
      <c r="D181" s="20" t="n">
        <v>29.4</v>
      </c>
      <c r="E181" s="20" t="n">
        <v>73</v>
      </c>
      <c r="F181" s="20" t="n">
        <v>3.1</v>
      </c>
      <c r="G181" s="20" t="inlineStr">
        <is>
          <t>Tidak hujan</t>
        </is>
      </c>
    </row>
    <row r="182">
      <c r="A182" s="29" t="n">
        <v>45838</v>
      </c>
      <c r="B182" s="18" t="inlineStr">
        <is>
          <t>Parepare</t>
        </is>
      </c>
      <c r="C182" s="18" t="n">
        <v>0</v>
      </c>
      <c r="D182" s="18" t="n">
        <v>28.4</v>
      </c>
      <c r="E182" s="18" t="n">
        <v>73</v>
      </c>
      <c r="F182" s="18" t="n">
        <v>2.3</v>
      </c>
      <c r="G182" s="18" t="inlineStr">
        <is>
          <t>Tidak hujan</t>
        </is>
      </c>
    </row>
    <row r="183">
      <c r="A183" s="30" t="n">
        <v>45839</v>
      </c>
      <c r="B183" s="20" t="inlineStr">
        <is>
          <t>Parepare</t>
        </is>
      </c>
      <c r="C183" s="20" t="n">
        <v>0</v>
      </c>
      <c r="D183" s="20" t="n">
        <v>29.9</v>
      </c>
      <c r="E183" s="20" t="n">
        <v>64</v>
      </c>
      <c r="F183" s="20" t="n">
        <v>2.7</v>
      </c>
      <c r="G183" s="20" t="inlineStr">
        <is>
          <t>Tidak hujan</t>
        </is>
      </c>
    </row>
    <row r="184">
      <c r="A184" s="29" t="n">
        <v>45840</v>
      </c>
      <c r="B184" s="18" t="inlineStr">
        <is>
          <t>Parepare</t>
        </is>
      </c>
      <c r="C184" s="18" t="n">
        <v>0</v>
      </c>
      <c r="D184" s="18" t="n">
        <v>30.8</v>
      </c>
      <c r="E184" s="18" t="n">
        <v>75</v>
      </c>
      <c r="F184" s="18" t="n">
        <v>2.8</v>
      </c>
      <c r="G184" s="18" t="inlineStr">
        <is>
          <t>Tidak hujan</t>
        </is>
      </c>
    </row>
    <row r="185">
      <c r="A185" s="30" t="n">
        <v>45841</v>
      </c>
      <c r="B185" s="20" t="inlineStr">
        <is>
          <t>Parepare</t>
        </is>
      </c>
      <c r="C185" s="20" t="n">
        <v>0</v>
      </c>
      <c r="D185" s="20" t="n">
        <v>30</v>
      </c>
      <c r="E185" s="20" t="n">
        <v>67</v>
      </c>
      <c r="F185" s="20" t="n">
        <v>1.6</v>
      </c>
      <c r="G185" s="20" t="inlineStr">
        <is>
          <t>Tidak hujan</t>
        </is>
      </c>
    </row>
    <row r="186">
      <c r="A186" s="29" t="n">
        <v>45842</v>
      </c>
      <c r="B186" s="18" t="inlineStr">
        <is>
          <t>Parepare</t>
        </is>
      </c>
      <c r="C186" s="18" t="n">
        <v>10.7</v>
      </c>
      <c r="D186" s="18" t="n">
        <v>28.1</v>
      </c>
      <c r="E186" s="18" t="n">
        <v>86</v>
      </c>
      <c r="F186" s="18" t="n">
        <v>3.2</v>
      </c>
      <c r="G186" s="18" t="inlineStr">
        <is>
          <t>Sedang</t>
        </is>
      </c>
    </row>
    <row r="187">
      <c r="A187" s="30" t="n">
        <v>45843</v>
      </c>
      <c r="B187" s="20" t="inlineStr">
        <is>
          <t>Parepare</t>
        </is>
      </c>
      <c r="C187" s="20" t="n">
        <v>0</v>
      </c>
      <c r="D187" s="20" t="n">
        <v>29</v>
      </c>
      <c r="E187" s="20" t="n">
        <v>70</v>
      </c>
      <c r="F187" s="20" t="n">
        <v>2.5</v>
      </c>
      <c r="G187" s="20" t="inlineStr">
        <is>
          <t>Tidak hujan</t>
        </is>
      </c>
    </row>
    <row r="188">
      <c r="A188" s="29" t="n">
        <v>45844</v>
      </c>
      <c r="B188" s="18" t="inlineStr">
        <is>
          <t>Parepare</t>
        </is>
      </c>
      <c r="C188" s="18" t="n">
        <v>0</v>
      </c>
      <c r="D188" s="18" t="n">
        <v>28.6</v>
      </c>
      <c r="E188" s="18" t="n">
        <v>72</v>
      </c>
      <c r="F188" s="18" t="n">
        <v>1.8</v>
      </c>
      <c r="G188" s="18" t="inlineStr">
        <is>
          <t>Tidak hujan</t>
        </is>
      </c>
    </row>
    <row r="189">
      <c r="A189" s="30" t="n">
        <v>45845</v>
      </c>
      <c r="B189" s="20" t="inlineStr">
        <is>
          <t>Parepare</t>
        </is>
      </c>
      <c r="C189" s="20" t="n">
        <v>0</v>
      </c>
      <c r="D189" s="20" t="n">
        <v>30.5</v>
      </c>
      <c r="E189" s="20" t="n">
        <v>76</v>
      </c>
      <c r="F189" s="20" t="n">
        <v>2.4</v>
      </c>
      <c r="G189" s="20" t="inlineStr">
        <is>
          <t>Tidak hujan</t>
        </is>
      </c>
    </row>
    <row r="190">
      <c r="A190" s="29" t="n">
        <v>45846</v>
      </c>
      <c r="B190" s="18" t="inlineStr">
        <is>
          <t>Parepare</t>
        </is>
      </c>
      <c r="C190" s="18" t="n">
        <v>4.5</v>
      </c>
      <c r="D190" s="18" t="n">
        <v>27.8</v>
      </c>
      <c r="E190" s="18" t="n">
        <v>75</v>
      </c>
      <c r="F190" s="18" t="n">
        <v>2.7</v>
      </c>
      <c r="G190" s="18" t="inlineStr">
        <is>
          <t>Ringan</t>
        </is>
      </c>
    </row>
    <row r="191">
      <c r="A191" s="30" t="n">
        <v>45847</v>
      </c>
      <c r="B191" s="20" t="inlineStr">
        <is>
          <t>Parepare</t>
        </is>
      </c>
      <c r="C191" s="20" t="n">
        <v>8.800000000000001</v>
      </c>
      <c r="D191" s="20" t="n">
        <v>31.8</v>
      </c>
      <c r="E191" s="20" t="n">
        <v>83</v>
      </c>
      <c r="F191" s="20" t="n">
        <v>2.4</v>
      </c>
      <c r="G191" s="20" t="inlineStr">
        <is>
          <t>Sedang</t>
        </is>
      </c>
    </row>
    <row r="192">
      <c r="A192" s="29" t="n">
        <v>45848</v>
      </c>
      <c r="B192" s="18" t="inlineStr">
        <is>
          <t>Parepare</t>
        </is>
      </c>
      <c r="C192" s="18" t="n">
        <v>0</v>
      </c>
      <c r="D192" s="18" t="n">
        <v>30.3</v>
      </c>
      <c r="E192" s="18" t="n">
        <v>75</v>
      </c>
      <c r="F192" s="18" t="n">
        <v>2.2</v>
      </c>
      <c r="G192" s="18" t="inlineStr">
        <is>
          <t>Tidak hujan</t>
        </is>
      </c>
    </row>
    <row r="193">
      <c r="A193" s="30" t="n">
        <v>45849</v>
      </c>
      <c r="B193" s="20" t="inlineStr">
        <is>
          <t>Parepare</t>
        </is>
      </c>
      <c r="C193" s="20" t="n">
        <v>1.6</v>
      </c>
      <c r="D193" s="20" t="n">
        <v>27.6</v>
      </c>
      <c r="E193" s="20" t="n">
        <v>70</v>
      </c>
      <c r="F193" s="20" t="n">
        <v>1.7</v>
      </c>
      <c r="G193" s="20" t="inlineStr">
        <is>
          <t>Ringan</t>
        </is>
      </c>
    </row>
    <row r="194">
      <c r="A194" s="29" t="n">
        <v>45850</v>
      </c>
      <c r="B194" s="18" t="inlineStr">
        <is>
          <t>Parepare</t>
        </is>
      </c>
      <c r="C194" s="18" t="n">
        <v>10.6</v>
      </c>
      <c r="D194" s="18" t="n">
        <v>29.5</v>
      </c>
      <c r="E194" s="18" t="n">
        <v>78</v>
      </c>
      <c r="F194" s="18" t="n">
        <v>3.2</v>
      </c>
      <c r="G194" s="18" t="inlineStr">
        <is>
          <t>Sedang</t>
        </is>
      </c>
    </row>
    <row r="195">
      <c r="A195" s="30" t="n">
        <v>45851</v>
      </c>
      <c r="B195" s="20" t="inlineStr">
        <is>
          <t>Parepare</t>
        </is>
      </c>
      <c r="C195" s="20" t="n">
        <v>0</v>
      </c>
      <c r="D195" s="20" t="n">
        <v>30.1</v>
      </c>
      <c r="E195" s="20" t="n">
        <v>62</v>
      </c>
      <c r="F195" s="20" t="n">
        <v>3</v>
      </c>
      <c r="G195" s="20" t="inlineStr">
        <is>
          <t>Tidak hujan</t>
        </is>
      </c>
    </row>
    <row r="196">
      <c r="A196" s="29" t="n">
        <v>45852</v>
      </c>
      <c r="B196" s="18" t="inlineStr">
        <is>
          <t>Parepare</t>
        </is>
      </c>
      <c r="C196" s="18" t="n">
        <v>0</v>
      </c>
      <c r="D196" s="18" t="n">
        <v>29.7</v>
      </c>
      <c r="E196" s="18" t="n">
        <v>72</v>
      </c>
      <c r="F196" s="18" t="n">
        <v>0.8</v>
      </c>
      <c r="G196" s="18" t="inlineStr">
        <is>
          <t>Tidak hujan</t>
        </is>
      </c>
    </row>
    <row r="197">
      <c r="A197" s="30" t="n">
        <v>45853</v>
      </c>
      <c r="B197" s="20" t="inlineStr">
        <is>
          <t>Parepare</t>
        </is>
      </c>
      <c r="C197" s="20" t="n">
        <v>5.5</v>
      </c>
      <c r="D197" s="20" t="n">
        <v>29.1</v>
      </c>
      <c r="E197" s="20" t="n">
        <v>72</v>
      </c>
      <c r="F197" s="20" t="n">
        <v>1.5</v>
      </c>
      <c r="G197" s="20" t="inlineStr">
        <is>
          <t>Sedang</t>
        </is>
      </c>
    </row>
    <row r="198">
      <c r="A198" s="29" t="n">
        <v>45854</v>
      </c>
      <c r="B198" s="18" t="inlineStr">
        <is>
          <t>Parepare</t>
        </is>
      </c>
      <c r="C198" s="18" t="n">
        <v>1.5</v>
      </c>
      <c r="D198" s="18" t="n">
        <v>29.9</v>
      </c>
      <c r="E198" s="18" t="n">
        <v>76</v>
      </c>
      <c r="F198" s="18" t="n">
        <v>2.1</v>
      </c>
      <c r="G198" s="18" t="inlineStr">
        <is>
          <t>Ringan</t>
        </is>
      </c>
    </row>
    <row r="199">
      <c r="A199" s="30" t="n">
        <v>45855</v>
      </c>
      <c r="B199" s="20" t="inlineStr">
        <is>
          <t>Parepare</t>
        </is>
      </c>
      <c r="C199" s="20" t="n">
        <v>0</v>
      </c>
      <c r="D199" s="20" t="n">
        <v>28.6</v>
      </c>
      <c r="E199" s="20" t="n">
        <v>63</v>
      </c>
      <c r="F199" s="20" t="n">
        <v>3.3</v>
      </c>
      <c r="G199" s="20" t="inlineStr">
        <is>
          <t>Tidak hujan</t>
        </is>
      </c>
    </row>
    <row r="200">
      <c r="A200" s="29" t="n">
        <v>45856</v>
      </c>
      <c r="B200" s="18" t="inlineStr">
        <is>
          <t>Parepare</t>
        </is>
      </c>
      <c r="C200" s="18" t="n">
        <v>0</v>
      </c>
      <c r="D200" s="18" t="n">
        <v>30.7</v>
      </c>
      <c r="E200" s="18" t="n">
        <v>76</v>
      </c>
      <c r="F200" s="18" t="n">
        <v>2.5</v>
      </c>
      <c r="G200" s="18" t="inlineStr">
        <is>
          <t>Tidak hujan</t>
        </is>
      </c>
    </row>
    <row r="201">
      <c r="A201" s="30" t="n">
        <v>45857</v>
      </c>
      <c r="B201" s="20" t="inlineStr">
        <is>
          <t>Parepare</t>
        </is>
      </c>
      <c r="C201" s="20" t="n">
        <v>12.9</v>
      </c>
      <c r="D201" s="20" t="n">
        <v>27.4</v>
      </c>
      <c r="E201" s="20" t="n">
        <v>77</v>
      </c>
      <c r="F201" s="20" t="n">
        <v>1.2</v>
      </c>
      <c r="G201" s="20" t="inlineStr">
        <is>
          <t>Sedang</t>
        </is>
      </c>
    </row>
    <row r="202">
      <c r="A202" s="29" t="n">
        <v>45858</v>
      </c>
      <c r="B202" s="18" t="inlineStr">
        <is>
          <t>Parepare</t>
        </is>
      </c>
      <c r="C202" s="18" t="n">
        <v>0.7</v>
      </c>
      <c r="D202" s="18" t="n">
        <v>29.8</v>
      </c>
      <c r="E202" s="18" t="n">
        <v>72</v>
      </c>
      <c r="F202" s="18" t="n">
        <v>1.8</v>
      </c>
      <c r="G202" s="18" t="inlineStr">
        <is>
          <t>Ringan</t>
        </is>
      </c>
    </row>
    <row r="203">
      <c r="A203" s="30" t="n">
        <v>45859</v>
      </c>
      <c r="B203" s="20" t="inlineStr">
        <is>
          <t>Parepare</t>
        </is>
      </c>
      <c r="C203" s="20" t="n">
        <v>0</v>
      </c>
      <c r="D203" s="20" t="n">
        <v>31</v>
      </c>
      <c r="E203" s="20" t="n">
        <v>79</v>
      </c>
      <c r="F203" s="20" t="n">
        <v>1.8</v>
      </c>
      <c r="G203" s="20" t="inlineStr">
        <is>
          <t>Tidak hujan</t>
        </is>
      </c>
    </row>
    <row r="204">
      <c r="A204" s="29" t="n">
        <v>45860</v>
      </c>
      <c r="B204" s="18" t="inlineStr">
        <is>
          <t>Parepare</t>
        </is>
      </c>
      <c r="C204" s="18" t="n">
        <v>0</v>
      </c>
      <c r="D204" s="18" t="n">
        <v>30.1</v>
      </c>
      <c r="E204" s="18" t="n">
        <v>72</v>
      </c>
      <c r="F204" s="18" t="n">
        <v>2.4</v>
      </c>
      <c r="G204" s="18" t="inlineStr">
        <is>
          <t>Tidak hujan</t>
        </is>
      </c>
    </row>
    <row r="205">
      <c r="A205" s="30" t="n">
        <v>45861</v>
      </c>
      <c r="B205" s="20" t="inlineStr">
        <is>
          <t>Parepare</t>
        </is>
      </c>
      <c r="C205" s="20" t="n">
        <v>0</v>
      </c>
      <c r="D205" s="20" t="n">
        <v>28.2</v>
      </c>
      <c r="E205" s="20" t="n">
        <v>71</v>
      </c>
      <c r="F205" s="20" t="n">
        <v>3</v>
      </c>
      <c r="G205" s="20" t="inlineStr">
        <is>
          <t>Tidak hujan</t>
        </is>
      </c>
    </row>
    <row r="206">
      <c r="A206" s="29" t="n">
        <v>45862</v>
      </c>
      <c r="B206" s="18" t="inlineStr">
        <is>
          <t>Parepare</t>
        </is>
      </c>
      <c r="C206" s="18" t="n">
        <v>8.699999999999999</v>
      </c>
      <c r="D206" s="18" t="n">
        <v>27.4</v>
      </c>
      <c r="E206" s="18" t="n">
        <v>81</v>
      </c>
      <c r="F206" s="18" t="n">
        <v>2.6</v>
      </c>
      <c r="G206" s="18" t="inlineStr">
        <is>
          <t>Sedang</t>
        </is>
      </c>
    </row>
    <row r="207">
      <c r="A207" s="30" t="n">
        <v>45863</v>
      </c>
      <c r="B207" s="20" t="inlineStr">
        <is>
          <t>Parepare</t>
        </is>
      </c>
      <c r="C207" s="20" t="n">
        <v>22.9</v>
      </c>
      <c r="D207" s="20" t="n">
        <v>27.5</v>
      </c>
      <c r="E207" s="20" t="n">
        <v>80</v>
      </c>
      <c r="F207" s="20" t="n">
        <v>3.1</v>
      </c>
      <c r="G207" s="20" t="inlineStr">
        <is>
          <t>Lebat</t>
        </is>
      </c>
    </row>
    <row r="208">
      <c r="A208" s="29" t="n">
        <v>45864</v>
      </c>
      <c r="B208" s="18" t="inlineStr">
        <is>
          <t>Parepare</t>
        </is>
      </c>
      <c r="C208" s="18" t="n">
        <v>0</v>
      </c>
      <c r="D208" s="18" t="n">
        <v>31.1</v>
      </c>
      <c r="E208" s="18" t="n">
        <v>63</v>
      </c>
      <c r="F208" s="18" t="n">
        <v>2.8</v>
      </c>
      <c r="G208" s="18" t="inlineStr">
        <is>
          <t>Tidak hujan</t>
        </is>
      </c>
    </row>
    <row r="209">
      <c r="A209" s="30" t="n">
        <v>45865</v>
      </c>
      <c r="B209" s="20" t="inlineStr">
        <is>
          <t>Parepare</t>
        </is>
      </c>
      <c r="C209" s="20" t="n">
        <v>0</v>
      </c>
      <c r="D209" s="20" t="n">
        <v>28.8</v>
      </c>
      <c r="E209" s="20" t="n">
        <v>80</v>
      </c>
      <c r="F209" s="20" t="n">
        <v>2.6</v>
      </c>
      <c r="G209" s="20" t="inlineStr">
        <is>
          <t>Tidak hujan</t>
        </is>
      </c>
    </row>
    <row r="210">
      <c r="A210" s="29" t="n">
        <v>45866</v>
      </c>
      <c r="B210" s="18" t="inlineStr">
        <is>
          <t>Parepare</t>
        </is>
      </c>
      <c r="C210" s="18" t="n">
        <v>0</v>
      </c>
      <c r="D210" s="18" t="n">
        <v>28.9</v>
      </c>
      <c r="E210" s="18" t="n">
        <v>72</v>
      </c>
      <c r="F210" s="18" t="n">
        <v>2</v>
      </c>
      <c r="G210" s="18" t="inlineStr">
        <is>
          <t>Tidak hujan</t>
        </is>
      </c>
    </row>
    <row r="211">
      <c r="A211" s="30" t="n">
        <v>45867</v>
      </c>
      <c r="B211" s="20" t="inlineStr">
        <is>
          <t>Parepare</t>
        </is>
      </c>
      <c r="C211" s="20" t="n">
        <v>0</v>
      </c>
      <c r="D211" s="20" t="n">
        <v>31.1</v>
      </c>
      <c r="E211" s="20" t="n">
        <v>63</v>
      </c>
      <c r="F211" s="20" t="n">
        <v>2.9</v>
      </c>
      <c r="G211" s="20" t="inlineStr">
        <is>
          <t>Tidak hujan</t>
        </is>
      </c>
    </row>
    <row r="212">
      <c r="A212" s="29" t="n">
        <v>45868</v>
      </c>
      <c r="B212" s="18" t="inlineStr">
        <is>
          <t>Parepare</t>
        </is>
      </c>
      <c r="C212" s="18" t="n">
        <v>0</v>
      </c>
      <c r="D212" s="18" t="n">
        <v>29.2</v>
      </c>
      <c r="E212" s="18" t="n">
        <v>73</v>
      </c>
      <c r="F212" s="18" t="n">
        <v>2.4</v>
      </c>
      <c r="G212" s="18" t="inlineStr">
        <is>
          <t>Tidak hujan</t>
        </is>
      </c>
    </row>
    <row r="213">
      <c r="A213" s="30" t="n">
        <v>45869</v>
      </c>
      <c r="B213" s="20" t="inlineStr">
        <is>
          <t>Parepare</t>
        </is>
      </c>
      <c r="C213" s="20" t="n">
        <v>1.9</v>
      </c>
      <c r="D213" s="20" t="n">
        <v>30.3</v>
      </c>
      <c r="E213" s="20" t="n">
        <v>79</v>
      </c>
      <c r="F213" s="20" t="n">
        <v>2.1</v>
      </c>
      <c r="G213" s="20" t="inlineStr">
        <is>
          <t>Ringan</t>
        </is>
      </c>
    </row>
    <row r="214">
      <c r="A214" s="29" t="n">
        <v>45870</v>
      </c>
      <c r="B214" s="18" t="inlineStr">
        <is>
          <t>Parepare</t>
        </is>
      </c>
      <c r="C214" s="18" t="n">
        <v>0</v>
      </c>
      <c r="D214" s="18" t="n">
        <v>31.4</v>
      </c>
      <c r="E214" s="18" t="n">
        <v>70</v>
      </c>
      <c r="F214" s="18" t="n">
        <v>3.4</v>
      </c>
      <c r="G214" s="18" t="inlineStr">
        <is>
          <t>Tidak hujan</t>
        </is>
      </c>
    </row>
    <row r="215">
      <c r="A215" s="30" t="n">
        <v>45871</v>
      </c>
      <c r="B215" s="20" t="inlineStr">
        <is>
          <t>Parepare</t>
        </is>
      </c>
      <c r="C215" s="20" t="n">
        <v>1.7</v>
      </c>
      <c r="D215" s="20" t="n">
        <v>27.3</v>
      </c>
      <c r="E215" s="20" t="n">
        <v>78</v>
      </c>
      <c r="F215" s="20" t="n">
        <v>2.3</v>
      </c>
      <c r="G215" s="20" t="inlineStr">
        <is>
          <t>Ringan</t>
        </is>
      </c>
    </row>
    <row r="216">
      <c r="A216" s="29" t="n">
        <v>45872</v>
      </c>
      <c r="B216" s="18" t="inlineStr">
        <is>
          <t>Parepare</t>
        </is>
      </c>
      <c r="C216" s="18" t="n">
        <v>12.9</v>
      </c>
      <c r="D216" s="18" t="n">
        <v>26.9</v>
      </c>
      <c r="E216" s="18" t="n">
        <v>80</v>
      </c>
      <c r="F216" s="18" t="n">
        <v>2.6</v>
      </c>
      <c r="G216" s="18" t="inlineStr">
        <is>
          <t>Sedang</t>
        </is>
      </c>
    </row>
    <row r="217">
      <c r="A217" s="30" t="n">
        <v>45873</v>
      </c>
      <c r="B217" s="20" t="inlineStr">
        <is>
          <t>Parepare</t>
        </is>
      </c>
      <c r="C217" s="20" t="n">
        <v>0</v>
      </c>
      <c r="D217" s="20" t="n">
        <v>28.4</v>
      </c>
      <c r="E217" s="20" t="n">
        <v>76</v>
      </c>
      <c r="F217" s="20" t="n">
        <v>1.6</v>
      </c>
      <c r="G217" s="20" t="inlineStr">
        <is>
          <t>Tidak hujan</t>
        </is>
      </c>
    </row>
    <row r="218">
      <c r="A218" s="29" t="n">
        <v>45874</v>
      </c>
      <c r="B218" s="18" t="inlineStr">
        <is>
          <t>Parepare</t>
        </is>
      </c>
      <c r="C218" s="18" t="n">
        <v>0</v>
      </c>
      <c r="D218" s="18" t="n">
        <v>28.9</v>
      </c>
      <c r="E218" s="18" t="n">
        <v>78</v>
      </c>
      <c r="F218" s="18" t="n">
        <v>2.8</v>
      </c>
      <c r="G218" s="18" t="inlineStr">
        <is>
          <t>Tidak hujan</t>
        </is>
      </c>
    </row>
    <row r="219">
      <c r="A219" s="30" t="n">
        <v>45875</v>
      </c>
      <c r="B219" s="20" t="inlineStr">
        <is>
          <t>Parepare</t>
        </is>
      </c>
      <c r="C219" s="20" t="n">
        <v>0</v>
      </c>
      <c r="D219" s="20" t="n">
        <v>28.4</v>
      </c>
      <c r="E219" s="20" t="n">
        <v>77</v>
      </c>
      <c r="F219" s="20" t="n">
        <v>2.6</v>
      </c>
      <c r="G219" s="20" t="inlineStr">
        <is>
          <t>Tidak hujan</t>
        </is>
      </c>
    </row>
    <row r="220">
      <c r="A220" s="29" t="n">
        <v>45876</v>
      </c>
      <c r="B220" s="18" t="inlineStr">
        <is>
          <t>Parepare</t>
        </is>
      </c>
      <c r="C220" s="18" t="n">
        <v>0.9</v>
      </c>
      <c r="D220" s="18" t="n">
        <v>27.9</v>
      </c>
      <c r="E220" s="18" t="n">
        <v>75</v>
      </c>
      <c r="F220" s="18" t="n">
        <v>3.9</v>
      </c>
      <c r="G220" s="18" t="inlineStr">
        <is>
          <t>Ringan</t>
        </is>
      </c>
    </row>
    <row r="221">
      <c r="A221" s="30" t="n">
        <v>45877</v>
      </c>
      <c r="B221" s="20" t="inlineStr">
        <is>
          <t>Parepare</t>
        </is>
      </c>
      <c r="C221" s="20" t="n">
        <v>0</v>
      </c>
      <c r="D221" s="20" t="n">
        <v>29</v>
      </c>
      <c r="E221" s="20" t="n">
        <v>70</v>
      </c>
      <c r="F221" s="20" t="n">
        <v>2.8</v>
      </c>
      <c r="G221" s="20" t="inlineStr">
        <is>
          <t>Tidak hujan</t>
        </is>
      </c>
    </row>
    <row r="222">
      <c r="A222" s="29" t="n">
        <v>45878</v>
      </c>
      <c r="B222" s="18" t="inlineStr">
        <is>
          <t>Parepare</t>
        </is>
      </c>
      <c r="C222" s="18" t="n">
        <v>0.7</v>
      </c>
      <c r="D222" s="18" t="n">
        <v>30</v>
      </c>
      <c r="E222" s="18" t="n">
        <v>73</v>
      </c>
      <c r="F222" s="18" t="n">
        <v>1.3</v>
      </c>
      <c r="G222" s="18" t="inlineStr">
        <is>
          <t>Ringan</t>
        </is>
      </c>
    </row>
    <row r="223">
      <c r="A223" s="30" t="n">
        <v>45879</v>
      </c>
      <c r="B223" s="20" t="inlineStr">
        <is>
          <t>Parepare</t>
        </is>
      </c>
      <c r="C223" s="20" t="n">
        <v>0</v>
      </c>
      <c r="D223" s="20" t="n">
        <v>29.9</v>
      </c>
      <c r="E223" s="20" t="n">
        <v>75</v>
      </c>
      <c r="F223" s="20" t="n">
        <v>3.3</v>
      </c>
      <c r="G223" s="20" t="inlineStr">
        <is>
          <t>Tidak hujan</t>
        </is>
      </c>
    </row>
    <row r="224">
      <c r="A224" s="29" t="n">
        <v>45880</v>
      </c>
      <c r="B224" s="18" t="inlineStr">
        <is>
          <t>Parepare</t>
        </is>
      </c>
      <c r="C224" s="18" t="n">
        <v>1</v>
      </c>
      <c r="D224" s="18" t="n">
        <v>27.3</v>
      </c>
      <c r="E224" s="18" t="n">
        <v>87</v>
      </c>
      <c r="F224" s="18" t="n">
        <v>2.4</v>
      </c>
      <c r="G224" s="18" t="inlineStr">
        <is>
          <t>Ringan</t>
        </is>
      </c>
    </row>
    <row r="225">
      <c r="A225" s="30" t="n">
        <v>45881</v>
      </c>
      <c r="B225" s="20" t="inlineStr">
        <is>
          <t>Parepare</t>
        </is>
      </c>
      <c r="C225" s="20" t="n">
        <v>0</v>
      </c>
      <c r="D225" s="20" t="n">
        <v>29.5</v>
      </c>
      <c r="E225" s="20" t="n">
        <v>60</v>
      </c>
      <c r="F225" s="20" t="n">
        <v>1.7</v>
      </c>
      <c r="G225" s="20" t="inlineStr">
        <is>
          <t>Tidak hujan</t>
        </is>
      </c>
    </row>
    <row r="226">
      <c r="A226" s="29" t="n">
        <v>45882</v>
      </c>
      <c r="B226" s="18" t="inlineStr">
        <is>
          <t>Parepare</t>
        </is>
      </c>
      <c r="C226" s="18" t="n">
        <v>0</v>
      </c>
      <c r="D226" s="18" t="n">
        <v>28.3</v>
      </c>
      <c r="E226" s="18" t="n">
        <v>69</v>
      </c>
      <c r="F226" s="18" t="n">
        <v>2.9</v>
      </c>
      <c r="G226" s="18" t="inlineStr">
        <is>
          <t>Tidak hujan</t>
        </is>
      </c>
    </row>
    <row r="227">
      <c r="A227" s="30" t="n">
        <v>45883</v>
      </c>
      <c r="B227" s="20" t="inlineStr">
        <is>
          <t>Parepare</t>
        </is>
      </c>
      <c r="C227" s="20" t="n">
        <v>0</v>
      </c>
      <c r="D227" s="20" t="n">
        <v>27.7</v>
      </c>
      <c r="E227" s="20" t="n">
        <v>65</v>
      </c>
      <c r="F227" s="20" t="n">
        <v>1.7</v>
      </c>
      <c r="G227" s="20" t="inlineStr">
        <is>
          <t>Tidak hujan</t>
        </is>
      </c>
    </row>
    <row r="228">
      <c r="A228" s="29" t="n">
        <v>45884</v>
      </c>
      <c r="B228" s="18" t="inlineStr">
        <is>
          <t>Parepare</t>
        </is>
      </c>
      <c r="C228" s="18" t="n">
        <v>0</v>
      </c>
      <c r="D228" s="18" t="n">
        <v>28.4</v>
      </c>
      <c r="E228" s="18" t="n">
        <v>63</v>
      </c>
      <c r="F228" s="18" t="n">
        <v>2.9</v>
      </c>
      <c r="G228" s="18" t="inlineStr">
        <is>
          <t>Tidak hujan</t>
        </is>
      </c>
    </row>
    <row r="229">
      <c r="A229" s="30" t="n">
        <v>45885</v>
      </c>
      <c r="B229" s="20" t="inlineStr">
        <is>
          <t>Parepare</t>
        </is>
      </c>
      <c r="C229" s="20" t="n">
        <v>1.6</v>
      </c>
      <c r="D229" s="20" t="n">
        <v>27.9</v>
      </c>
      <c r="E229" s="20" t="n">
        <v>73</v>
      </c>
      <c r="F229" s="20" t="n">
        <v>4</v>
      </c>
      <c r="G229" s="20" t="inlineStr">
        <is>
          <t>Ringan</t>
        </is>
      </c>
    </row>
    <row r="230">
      <c r="A230" s="29" t="n">
        <v>45886</v>
      </c>
      <c r="B230" s="18" t="inlineStr">
        <is>
          <t>Parepare</t>
        </is>
      </c>
      <c r="C230" s="18" t="n">
        <v>4.9</v>
      </c>
      <c r="D230" s="18" t="n">
        <v>27.3</v>
      </c>
      <c r="E230" s="18" t="n">
        <v>81</v>
      </c>
      <c r="F230" s="18" t="n">
        <v>2.3</v>
      </c>
      <c r="G230" s="18" t="inlineStr">
        <is>
          <t>Ringan</t>
        </is>
      </c>
    </row>
    <row r="231">
      <c r="A231" s="30" t="n">
        <v>45887</v>
      </c>
      <c r="B231" s="20" t="inlineStr">
        <is>
          <t>Parepare</t>
        </is>
      </c>
      <c r="C231" s="20" t="n">
        <v>0</v>
      </c>
      <c r="D231" s="20" t="n">
        <v>29.4</v>
      </c>
      <c r="E231" s="20" t="n">
        <v>74</v>
      </c>
      <c r="F231" s="20" t="n">
        <v>2.2</v>
      </c>
      <c r="G231" s="20" t="inlineStr">
        <is>
          <t>Tidak hujan</t>
        </is>
      </c>
    </row>
    <row r="232">
      <c r="A232" s="29" t="n">
        <v>45888</v>
      </c>
      <c r="B232" s="18" t="inlineStr">
        <is>
          <t>Parepare</t>
        </is>
      </c>
      <c r="C232" s="18" t="n">
        <v>21.7</v>
      </c>
      <c r="D232" s="18" t="n">
        <v>27.1</v>
      </c>
      <c r="E232" s="18" t="n">
        <v>83</v>
      </c>
      <c r="F232" s="18" t="n">
        <v>4.3</v>
      </c>
      <c r="G232" s="18" t="inlineStr">
        <is>
          <t>Lebat</t>
        </is>
      </c>
    </row>
    <row r="233">
      <c r="A233" s="30" t="n">
        <v>45889</v>
      </c>
      <c r="B233" s="20" t="inlineStr">
        <is>
          <t>Parepare</t>
        </is>
      </c>
      <c r="C233" s="20" t="n">
        <v>0</v>
      </c>
      <c r="D233" s="20" t="n">
        <v>30.5</v>
      </c>
      <c r="E233" s="20" t="n">
        <v>70</v>
      </c>
      <c r="F233" s="20" t="n">
        <v>1.2</v>
      </c>
      <c r="G233" s="20" t="inlineStr">
        <is>
          <t>Tidak hujan</t>
        </is>
      </c>
    </row>
    <row r="234">
      <c r="A234" s="29" t="n">
        <v>45890</v>
      </c>
      <c r="B234" s="18" t="inlineStr">
        <is>
          <t>Parepare</t>
        </is>
      </c>
      <c r="C234" s="18" t="n">
        <v>0</v>
      </c>
      <c r="D234" s="18" t="n">
        <v>30.6</v>
      </c>
      <c r="E234" s="18" t="n">
        <v>69</v>
      </c>
      <c r="F234" s="18" t="n">
        <v>1.7</v>
      </c>
      <c r="G234" s="18" t="inlineStr">
        <is>
          <t>Tidak hujan</t>
        </is>
      </c>
    </row>
    <row r="235">
      <c r="A235" s="30" t="n">
        <v>45891</v>
      </c>
      <c r="B235" s="20" t="inlineStr">
        <is>
          <t>Parepare</t>
        </is>
      </c>
      <c r="C235" s="20" t="n">
        <v>0</v>
      </c>
      <c r="D235" s="20" t="n">
        <v>27.7</v>
      </c>
      <c r="E235" s="20" t="n">
        <v>74</v>
      </c>
      <c r="F235" s="20" t="n">
        <v>1.9</v>
      </c>
      <c r="G235" s="20" t="inlineStr">
        <is>
          <t>Tidak hujan</t>
        </is>
      </c>
    </row>
    <row r="236">
      <c r="A236" s="29" t="n">
        <v>45892</v>
      </c>
      <c r="B236" s="18" t="inlineStr">
        <is>
          <t>Parepare</t>
        </is>
      </c>
      <c r="C236" s="18" t="n">
        <v>0</v>
      </c>
      <c r="D236" s="18" t="n">
        <v>29.4</v>
      </c>
      <c r="E236" s="18" t="n">
        <v>60</v>
      </c>
      <c r="F236" s="18" t="n">
        <v>1.5</v>
      </c>
      <c r="G236" s="18" t="inlineStr">
        <is>
          <t>Tidak hujan</t>
        </is>
      </c>
    </row>
    <row r="237">
      <c r="A237" s="30" t="n">
        <v>45893</v>
      </c>
      <c r="B237" s="20" t="inlineStr">
        <is>
          <t>Parepare</t>
        </is>
      </c>
      <c r="C237" s="20" t="n">
        <v>0</v>
      </c>
      <c r="D237" s="20" t="n">
        <v>30.7</v>
      </c>
      <c r="E237" s="20" t="n">
        <v>70</v>
      </c>
      <c r="F237" s="20" t="n">
        <v>2</v>
      </c>
      <c r="G237" s="20" t="inlineStr">
        <is>
          <t>Tidak hujan</t>
        </is>
      </c>
    </row>
    <row r="238">
      <c r="A238" s="29" t="n">
        <v>45894</v>
      </c>
      <c r="B238" s="18" t="inlineStr">
        <is>
          <t>Parepare</t>
        </is>
      </c>
      <c r="C238" s="18" t="n">
        <v>10.3</v>
      </c>
      <c r="D238" s="18" t="n">
        <v>29.7</v>
      </c>
      <c r="E238" s="18" t="n">
        <v>88</v>
      </c>
      <c r="F238" s="18" t="n">
        <v>3.4</v>
      </c>
      <c r="G238" s="18" t="inlineStr">
        <is>
          <t>Sedang</t>
        </is>
      </c>
    </row>
    <row r="239">
      <c r="A239" s="30" t="n">
        <v>45895</v>
      </c>
      <c r="B239" s="20" t="inlineStr">
        <is>
          <t>Parepare</t>
        </is>
      </c>
      <c r="C239" s="20" t="n">
        <v>0</v>
      </c>
      <c r="D239" s="20" t="n">
        <v>30.3</v>
      </c>
      <c r="E239" s="20" t="n">
        <v>75</v>
      </c>
      <c r="F239" s="20" t="n">
        <v>1.2</v>
      </c>
      <c r="G239" s="20" t="inlineStr">
        <is>
          <t>Tidak hujan</t>
        </is>
      </c>
    </row>
    <row r="240">
      <c r="A240" s="29" t="n">
        <v>45896</v>
      </c>
      <c r="B240" s="18" t="inlineStr">
        <is>
          <t>Parepare</t>
        </is>
      </c>
      <c r="C240" s="18" t="n">
        <v>15</v>
      </c>
      <c r="D240" s="18" t="n">
        <v>27</v>
      </c>
      <c r="E240" s="18" t="n">
        <v>88</v>
      </c>
      <c r="F240" s="18" t="n">
        <v>1.7</v>
      </c>
      <c r="G240" s="18" t="inlineStr">
        <is>
          <t>Sedang</t>
        </is>
      </c>
    </row>
    <row r="241">
      <c r="A241" s="30" t="n">
        <v>45897</v>
      </c>
      <c r="B241" s="20" t="inlineStr">
        <is>
          <t>Parepare</t>
        </is>
      </c>
      <c r="C241" s="20" t="n">
        <v>0</v>
      </c>
      <c r="D241" s="20" t="n">
        <v>29.6</v>
      </c>
      <c r="E241" s="20" t="n">
        <v>74</v>
      </c>
      <c r="F241" s="20" t="n">
        <v>2.1</v>
      </c>
      <c r="G241" s="20" t="inlineStr">
        <is>
          <t>Tidak hujan</t>
        </is>
      </c>
    </row>
    <row r="242">
      <c r="A242" s="29" t="n">
        <v>45898</v>
      </c>
      <c r="B242" s="18" t="inlineStr">
        <is>
          <t>Parepare</t>
        </is>
      </c>
      <c r="C242" s="18" t="n">
        <v>0</v>
      </c>
      <c r="D242" s="18" t="n">
        <v>30.5</v>
      </c>
      <c r="E242" s="18" t="n">
        <v>76</v>
      </c>
      <c r="F242" s="18" t="n">
        <v>2.7</v>
      </c>
      <c r="G242" s="18" t="inlineStr">
        <is>
          <t>Tidak hujan</t>
        </is>
      </c>
    </row>
    <row r="243">
      <c r="A243" s="30" t="n">
        <v>45899</v>
      </c>
      <c r="B243" s="20" t="inlineStr">
        <is>
          <t>Parepare</t>
        </is>
      </c>
      <c r="C243" s="20" t="n">
        <v>0</v>
      </c>
      <c r="D243" s="20" t="n">
        <v>29.2</v>
      </c>
      <c r="E243" s="20" t="n">
        <v>73</v>
      </c>
      <c r="F243" s="20" t="n">
        <v>4.4</v>
      </c>
      <c r="G243" s="20" t="inlineStr">
        <is>
          <t>Tidak hujan</t>
        </is>
      </c>
    </row>
    <row r="244">
      <c r="A244" s="29" t="n">
        <v>45900</v>
      </c>
      <c r="B244" s="18" t="inlineStr">
        <is>
          <t>Parepare</t>
        </is>
      </c>
      <c r="C244" s="18" t="n">
        <v>4.9</v>
      </c>
      <c r="D244" s="18" t="n">
        <v>28.4</v>
      </c>
      <c r="E244" s="18" t="n">
        <v>82</v>
      </c>
      <c r="F244" s="18" t="n">
        <v>2.1</v>
      </c>
      <c r="G244" s="18" t="inlineStr">
        <is>
          <t>Ringan</t>
        </is>
      </c>
    </row>
    <row r="245">
      <c r="A245" s="30" t="n">
        <v>45901</v>
      </c>
      <c r="B245" s="20" t="inlineStr">
        <is>
          <t>Parepare</t>
        </is>
      </c>
      <c r="C245" s="20" t="n">
        <v>0</v>
      </c>
      <c r="D245" s="20" t="n">
        <v>29.8</v>
      </c>
      <c r="E245" s="20" t="n">
        <v>70</v>
      </c>
      <c r="F245" s="20" t="n">
        <v>2.5</v>
      </c>
      <c r="G245" s="20" t="inlineStr">
        <is>
          <t>Tidak hujan</t>
        </is>
      </c>
    </row>
    <row r="246">
      <c r="A246" s="29" t="n">
        <v>45902</v>
      </c>
      <c r="B246" s="18" t="inlineStr">
        <is>
          <t>Parepare</t>
        </is>
      </c>
      <c r="C246" s="18" t="n">
        <v>11.1</v>
      </c>
      <c r="D246" s="18" t="n">
        <v>27.3</v>
      </c>
      <c r="E246" s="18" t="n">
        <v>72</v>
      </c>
      <c r="F246" s="18" t="n">
        <v>2.4</v>
      </c>
      <c r="G246" s="18" t="inlineStr">
        <is>
          <t>Sedang</t>
        </is>
      </c>
    </row>
    <row r="247">
      <c r="A247" s="30" t="n">
        <v>45903</v>
      </c>
      <c r="B247" s="20" t="inlineStr">
        <is>
          <t>Parepare</t>
        </is>
      </c>
      <c r="C247" s="20" t="n">
        <v>0</v>
      </c>
      <c r="D247" s="20" t="n">
        <v>27.5</v>
      </c>
      <c r="E247" s="20" t="n">
        <v>71</v>
      </c>
      <c r="F247" s="20" t="n">
        <v>0.9</v>
      </c>
      <c r="G247" s="20" t="inlineStr">
        <is>
          <t>Tidak hujan</t>
        </is>
      </c>
    </row>
    <row r="248">
      <c r="A248" s="29" t="n">
        <v>45904</v>
      </c>
      <c r="B248" s="18" t="inlineStr">
        <is>
          <t>Parepare</t>
        </is>
      </c>
      <c r="C248" s="18" t="n">
        <v>65.3</v>
      </c>
      <c r="D248" s="18" t="n">
        <v>26.3</v>
      </c>
      <c r="E248" s="18" t="n">
        <v>86</v>
      </c>
      <c r="F248" s="18" t="n">
        <v>2.5</v>
      </c>
      <c r="G248" s="18" t="inlineStr">
        <is>
          <t>Lebat</t>
        </is>
      </c>
    </row>
    <row r="249">
      <c r="A249" s="30" t="n">
        <v>45905</v>
      </c>
      <c r="B249" s="20" t="inlineStr">
        <is>
          <t>Parepare</t>
        </is>
      </c>
      <c r="C249" s="20" t="n">
        <v>0</v>
      </c>
      <c r="D249" s="20" t="n">
        <v>30.3</v>
      </c>
      <c r="E249" s="20" t="n">
        <v>80</v>
      </c>
      <c r="F249" s="20" t="n">
        <v>3.6</v>
      </c>
      <c r="G249" s="20" t="inlineStr">
        <is>
          <t>Tidak hujan</t>
        </is>
      </c>
    </row>
    <row r="250">
      <c r="A250" s="29" t="n">
        <v>45906</v>
      </c>
      <c r="B250" s="18" t="inlineStr">
        <is>
          <t>Parepare</t>
        </is>
      </c>
      <c r="C250" s="18" t="n">
        <v>0</v>
      </c>
      <c r="D250" s="18" t="n">
        <v>27.3</v>
      </c>
      <c r="E250" s="18" t="n">
        <v>68</v>
      </c>
      <c r="F250" s="18" t="n">
        <v>2.6</v>
      </c>
      <c r="G250" s="18" t="inlineStr">
        <is>
          <t>Tidak hujan</t>
        </is>
      </c>
    </row>
    <row r="251">
      <c r="A251" s="30" t="n">
        <v>45907</v>
      </c>
      <c r="B251" s="20" t="inlineStr">
        <is>
          <t>Parepare</t>
        </is>
      </c>
      <c r="C251" s="20" t="n">
        <v>0</v>
      </c>
      <c r="D251" s="20" t="n">
        <v>27.3</v>
      </c>
      <c r="E251" s="20" t="n">
        <v>75</v>
      </c>
      <c r="F251" s="20" t="n">
        <v>3.1</v>
      </c>
      <c r="G251" s="20" t="inlineStr">
        <is>
          <t>Tidak hujan</t>
        </is>
      </c>
    </row>
    <row r="252">
      <c r="A252" s="29" t="n">
        <v>45908</v>
      </c>
      <c r="B252" s="18" t="inlineStr">
        <is>
          <t>Parepare</t>
        </is>
      </c>
      <c r="C252" s="18" t="n">
        <v>0</v>
      </c>
      <c r="D252" s="18" t="n">
        <v>28.4</v>
      </c>
      <c r="E252" s="18" t="n">
        <v>70</v>
      </c>
      <c r="F252" s="18" t="n">
        <v>3.1</v>
      </c>
      <c r="G252" s="18" t="inlineStr">
        <is>
          <t>Tidak hujan</t>
        </is>
      </c>
    </row>
    <row r="253">
      <c r="A253" s="30" t="n">
        <v>45909</v>
      </c>
      <c r="B253" s="20" t="inlineStr">
        <is>
          <t>Parepare</t>
        </is>
      </c>
      <c r="C253" s="20" t="n">
        <v>0</v>
      </c>
      <c r="D253" s="20" t="n">
        <v>27.4</v>
      </c>
      <c r="E253" s="20" t="n">
        <v>77</v>
      </c>
      <c r="F253" s="20" t="n">
        <v>2.2</v>
      </c>
      <c r="G253" s="20" t="inlineStr">
        <is>
          <t>Tidak hujan</t>
        </is>
      </c>
    </row>
    <row r="254">
      <c r="A254" s="29" t="n">
        <v>45910</v>
      </c>
      <c r="B254" s="18" t="inlineStr">
        <is>
          <t>Parepare</t>
        </is>
      </c>
      <c r="C254" s="18" t="n">
        <v>7.3</v>
      </c>
      <c r="D254" s="18" t="n">
        <v>30</v>
      </c>
      <c r="E254" s="18" t="n">
        <v>74</v>
      </c>
      <c r="F254" s="18" t="n">
        <v>2.2</v>
      </c>
      <c r="G254" s="18" t="inlineStr">
        <is>
          <t>Sedang</t>
        </is>
      </c>
    </row>
    <row r="255">
      <c r="A255" s="30" t="n">
        <v>45911</v>
      </c>
      <c r="B255" s="20" t="inlineStr">
        <is>
          <t>Parepare</t>
        </is>
      </c>
      <c r="C255" s="20" t="n">
        <v>2.8</v>
      </c>
      <c r="D255" s="20" t="n">
        <v>30.2</v>
      </c>
      <c r="E255" s="20" t="n">
        <v>82</v>
      </c>
      <c r="F255" s="20" t="n">
        <v>1.9</v>
      </c>
      <c r="G255" s="20" t="inlineStr">
        <is>
          <t>Ringan</t>
        </is>
      </c>
    </row>
    <row r="256">
      <c r="A256" s="29" t="n">
        <v>45912</v>
      </c>
      <c r="B256" s="18" t="inlineStr">
        <is>
          <t>Parepare</t>
        </is>
      </c>
      <c r="C256" s="18" t="n">
        <v>0</v>
      </c>
      <c r="D256" s="18" t="n">
        <v>30.1</v>
      </c>
      <c r="E256" s="18" t="n">
        <v>72</v>
      </c>
      <c r="F256" s="18" t="n">
        <v>1.9</v>
      </c>
      <c r="G256" s="18" t="inlineStr">
        <is>
          <t>Tidak hujan</t>
        </is>
      </c>
    </row>
    <row r="257">
      <c r="A257" s="30" t="n">
        <v>45913</v>
      </c>
      <c r="B257" s="20" t="inlineStr">
        <is>
          <t>Parepare</t>
        </is>
      </c>
      <c r="C257" s="20" t="n">
        <v>0</v>
      </c>
      <c r="D257" s="20" t="n">
        <v>29.9</v>
      </c>
      <c r="E257" s="20" t="n">
        <v>75</v>
      </c>
      <c r="F257" s="20" t="n">
        <v>2.2</v>
      </c>
      <c r="G257" s="20" t="inlineStr">
        <is>
          <t>Tidak hujan</t>
        </is>
      </c>
    </row>
    <row r="258">
      <c r="A258" s="29" t="n">
        <v>45914</v>
      </c>
      <c r="B258" s="18" t="inlineStr">
        <is>
          <t>Parepare</t>
        </is>
      </c>
      <c r="C258" s="18" t="n">
        <v>0.6</v>
      </c>
      <c r="D258" s="18" t="n">
        <v>26.4</v>
      </c>
      <c r="E258" s="18" t="n">
        <v>72</v>
      </c>
      <c r="F258" s="18" t="n">
        <v>2</v>
      </c>
      <c r="G258" s="18" t="inlineStr">
        <is>
          <t>Ringan</t>
        </is>
      </c>
    </row>
    <row r="259">
      <c r="A259" s="30" t="n">
        <v>45915</v>
      </c>
      <c r="B259" s="20" t="inlineStr">
        <is>
          <t>Parepare</t>
        </is>
      </c>
      <c r="C259" s="20" t="n">
        <v>0.6</v>
      </c>
      <c r="D259" s="20" t="n">
        <v>29.6</v>
      </c>
      <c r="E259" s="20" t="n">
        <v>74</v>
      </c>
      <c r="F259" s="20" t="n">
        <v>3.6</v>
      </c>
      <c r="G259" s="20" t="inlineStr">
        <is>
          <t>Ringan</t>
        </is>
      </c>
    </row>
    <row r="260">
      <c r="A260" s="29" t="n">
        <v>45916</v>
      </c>
      <c r="B260" s="18" t="inlineStr">
        <is>
          <t>Parepare</t>
        </is>
      </c>
      <c r="C260" s="18" t="n">
        <v>20.9</v>
      </c>
      <c r="D260" s="18" t="n">
        <v>28.1</v>
      </c>
      <c r="E260" s="18" t="n">
        <v>82</v>
      </c>
      <c r="F260" s="18" t="n">
        <v>3</v>
      </c>
      <c r="G260" s="18" t="inlineStr">
        <is>
          <t>Lebat</t>
        </is>
      </c>
    </row>
    <row r="261">
      <c r="A261" s="30" t="n">
        <v>45917</v>
      </c>
      <c r="B261" s="20" t="inlineStr">
        <is>
          <t>Parepare</t>
        </is>
      </c>
      <c r="C261" s="20" t="n">
        <v>41.9</v>
      </c>
      <c r="D261" s="20" t="n">
        <v>27.6</v>
      </c>
      <c r="E261" s="20" t="n">
        <v>93</v>
      </c>
      <c r="F261" s="20" t="n">
        <v>3.2</v>
      </c>
      <c r="G261" s="20" t="inlineStr">
        <is>
          <t>Lebat</t>
        </is>
      </c>
    </row>
    <row r="262">
      <c r="A262" s="29" t="n">
        <v>45918</v>
      </c>
      <c r="B262" s="18" t="inlineStr">
        <is>
          <t>Parepare</t>
        </is>
      </c>
      <c r="C262" s="18" t="n">
        <v>0</v>
      </c>
      <c r="D262" s="18" t="n">
        <v>28.5</v>
      </c>
      <c r="E262" s="18" t="n">
        <v>72</v>
      </c>
      <c r="F262" s="18" t="n">
        <v>3.6</v>
      </c>
      <c r="G262" s="18" t="inlineStr">
        <is>
          <t>Tidak hujan</t>
        </is>
      </c>
    </row>
    <row r="263">
      <c r="A263" s="30" t="n">
        <v>45919</v>
      </c>
      <c r="B263" s="20" t="inlineStr">
        <is>
          <t>Parepare</t>
        </is>
      </c>
      <c r="C263" s="20" t="n">
        <v>3.8</v>
      </c>
      <c r="D263" s="20" t="n">
        <v>26.4</v>
      </c>
      <c r="E263" s="20" t="n">
        <v>83</v>
      </c>
      <c r="F263" s="20" t="n">
        <v>3.4</v>
      </c>
      <c r="G263" s="20" t="inlineStr">
        <is>
          <t>Ringan</t>
        </is>
      </c>
    </row>
    <row r="264">
      <c r="A264" s="29" t="n">
        <v>45920</v>
      </c>
      <c r="B264" s="18" t="inlineStr">
        <is>
          <t>Parepare</t>
        </is>
      </c>
      <c r="C264" s="18" t="n">
        <v>2.2</v>
      </c>
      <c r="D264" s="18" t="n">
        <v>26.7</v>
      </c>
      <c r="E264" s="18" t="n">
        <v>68</v>
      </c>
      <c r="F264" s="18" t="n">
        <v>2.8</v>
      </c>
      <c r="G264" s="18" t="inlineStr">
        <is>
          <t>Ringan</t>
        </is>
      </c>
    </row>
    <row r="265">
      <c r="A265" s="30" t="n">
        <v>45921</v>
      </c>
      <c r="B265" s="20" t="inlineStr">
        <is>
          <t>Parepare</t>
        </is>
      </c>
      <c r="C265" s="20" t="n">
        <v>1.9</v>
      </c>
      <c r="D265" s="20" t="n">
        <v>30.1</v>
      </c>
      <c r="E265" s="20" t="n">
        <v>85</v>
      </c>
      <c r="F265" s="20" t="n">
        <v>1.6</v>
      </c>
      <c r="G265" s="20" t="inlineStr">
        <is>
          <t>Ringan</t>
        </is>
      </c>
    </row>
    <row r="266">
      <c r="A266" s="29" t="n">
        <v>45922</v>
      </c>
      <c r="B266" s="18" t="inlineStr">
        <is>
          <t>Parepare</t>
        </is>
      </c>
      <c r="C266" s="18" t="n">
        <v>0</v>
      </c>
      <c r="D266" s="18" t="n">
        <v>29.6</v>
      </c>
      <c r="E266" s="18" t="n">
        <v>64</v>
      </c>
      <c r="F266" s="18" t="n">
        <v>2</v>
      </c>
      <c r="G266" s="18" t="inlineStr">
        <is>
          <t>Tidak hujan</t>
        </is>
      </c>
    </row>
    <row r="267">
      <c r="A267" s="30" t="n">
        <v>45923</v>
      </c>
      <c r="B267" s="20" t="inlineStr">
        <is>
          <t>Parepare</t>
        </is>
      </c>
      <c r="C267" s="20" t="n">
        <v>17.6</v>
      </c>
      <c r="D267" s="20" t="n">
        <v>27.2</v>
      </c>
      <c r="E267" s="20" t="n">
        <v>83</v>
      </c>
      <c r="F267" s="20" t="n">
        <v>3.7</v>
      </c>
      <c r="G267" s="20" t="inlineStr">
        <is>
          <t>Sedang</t>
        </is>
      </c>
    </row>
    <row r="268">
      <c r="A268" s="29" t="n">
        <v>45924</v>
      </c>
      <c r="B268" s="18" t="inlineStr">
        <is>
          <t>Parepare</t>
        </is>
      </c>
      <c r="C268" s="18" t="n">
        <v>0</v>
      </c>
      <c r="D268" s="18" t="n">
        <v>27.2</v>
      </c>
      <c r="E268" s="18" t="n">
        <v>78</v>
      </c>
      <c r="F268" s="18" t="n">
        <v>2.8</v>
      </c>
      <c r="G268" s="18" t="inlineStr">
        <is>
          <t>Tidak hujan</t>
        </is>
      </c>
    </row>
    <row r="269">
      <c r="A269" s="30" t="n">
        <v>45925</v>
      </c>
      <c r="B269" s="20" t="inlineStr">
        <is>
          <t>Parepare</t>
        </is>
      </c>
      <c r="C269" s="20" t="n">
        <v>0</v>
      </c>
      <c r="D269" s="20" t="n">
        <v>27.8</v>
      </c>
      <c r="E269" s="20" t="n">
        <v>69</v>
      </c>
      <c r="F269" s="20" t="n">
        <v>2.5</v>
      </c>
      <c r="G269" s="20" t="inlineStr">
        <is>
          <t>Tidak hujan</t>
        </is>
      </c>
    </row>
    <row r="270">
      <c r="A270" s="29" t="n">
        <v>45926</v>
      </c>
      <c r="B270" s="18" t="inlineStr">
        <is>
          <t>Parepare</t>
        </is>
      </c>
      <c r="C270" s="18" t="n">
        <v>0.2</v>
      </c>
      <c r="D270" s="18" t="n">
        <v>29.1</v>
      </c>
      <c r="E270" s="18" t="n">
        <v>83</v>
      </c>
      <c r="F270" s="18" t="n">
        <v>2.5</v>
      </c>
      <c r="G270" s="18" t="inlineStr">
        <is>
          <t>Ringan</t>
        </is>
      </c>
    </row>
    <row r="271">
      <c r="A271" s="30" t="n">
        <v>45927</v>
      </c>
      <c r="B271" s="20" t="inlineStr">
        <is>
          <t>Parepare</t>
        </is>
      </c>
      <c r="C271" s="20" t="n">
        <v>26.1</v>
      </c>
      <c r="D271" s="20" t="n">
        <v>28.1</v>
      </c>
      <c r="E271" s="20" t="n">
        <v>81</v>
      </c>
      <c r="F271" s="20" t="n">
        <v>1.9</v>
      </c>
      <c r="G271" s="20" t="inlineStr">
        <is>
          <t>Lebat</t>
        </is>
      </c>
    </row>
    <row r="272">
      <c r="A272" s="29" t="n">
        <v>45928</v>
      </c>
      <c r="B272" s="18" t="inlineStr">
        <is>
          <t>Parepare</t>
        </is>
      </c>
      <c r="C272" s="18" t="n">
        <v>0</v>
      </c>
      <c r="D272" s="18" t="n">
        <v>27.8</v>
      </c>
      <c r="E272" s="18" t="n">
        <v>64</v>
      </c>
      <c r="F272" s="18" t="n">
        <v>2.2</v>
      </c>
      <c r="G272" s="18" t="inlineStr">
        <is>
          <t>Tidak hujan</t>
        </is>
      </c>
    </row>
    <row r="273">
      <c r="A273" s="30" t="n">
        <v>45929</v>
      </c>
      <c r="B273" s="20" t="inlineStr">
        <is>
          <t>Parepare</t>
        </is>
      </c>
      <c r="C273" s="20" t="n">
        <v>4.6</v>
      </c>
      <c r="D273" s="20" t="n">
        <v>28.9</v>
      </c>
      <c r="E273" s="20" t="n">
        <v>75</v>
      </c>
      <c r="F273" s="20" t="n">
        <v>2.8</v>
      </c>
      <c r="G273" s="20" t="inlineStr">
        <is>
          <t>Ringan</t>
        </is>
      </c>
    </row>
    <row r="274">
      <c r="A274" s="29" t="n">
        <v>45930</v>
      </c>
      <c r="B274" s="18" t="inlineStr">
        <is>
          <t>Parepare</t>
        </is>
      </c>
      <c r="C274" s="18" t="n">
        <v>6.5</v>
      </c>
      <c r="D274" s="18" t="n">
        <v>28.8</v>
      </c>
      <c r="E274" s="18" t="n">
        <v>71</v>
      </c>
      <c r="F274" s="18" t="n">
        <v>2.6</v>
      </c>
      <c r="G274" s="18" t="inlineStr">
        <is>
          <t>Sedang</t>
        </is>
      </c>
    </row>
    <row r="275">
      <c r="A275" s="30" t="n">
        <v>45931</v>
      </c>
      <c r="B275" s="20" t="inlineStr">
        <is>
          <t>Parepare</t>
        </is>
      </c>
      <c r="C275" s="20" t="n">
        <v>16.4</v>
      </c>
      <c r="D275" s="20" t="n">
        <v>27.4</v>
      </c>
      <c r="E275" s="20" t="n">
        <v>81</v>
      </c>
      <c r="F275" s="20" t="n">
        <v>3.8</v>
      </c>
      <c r="G275" s="20" t="inlineStr">
        <is>
          <t>Sedang</t>
        </is>
      </c>
    </row>
    <row r="276">
      <c r="A276" s="29" t="n">
        <v>45932</v>
      </c>
      <c r="B276" s="18" t="inlineStr">
        <is>
          <t>Parepare</t>
        </is>
      </c>
      <c r="C276" s="18" t="n">
        <v>0</v>
      </c>
      <c r="D276" s="18" t="n">
        <v>27.3</v>
      </c>
      <c r="E276" s="18" t="n">
        <v>63</v>
      </c>
      <c r="F276" s="18" t="n">
        <v>1.9</v>
      </c>
      <c r="G276" s="18" t="inlineStr">
        <is>
          <t>Tidak hujan</t>
        </is>
      </c>
    </row>
    <row r="277">
      <c r="A277" s="30" t="n">
        <v>45933</v>
      </c>
      <c r="B277" s="20" t="inlineStr">
        <is>
          <t>Parepare</t>
        </is>
      </c>
      <c r="C277" s="20" t="n">
        <v>0</v>
      </c>
      <c r="D277" s="20" t="n">
        <v>28</v>
      </c>
      <c r="E277" s="20" t="n">
        <v>65</v>
      </c>
      <c r="F277" s="20" t="n">
        <v>2.3</v>
      </c>
      <c r="G277" s="20" t="inlineStr">
        <is>
          <t>Tidak hujan</t>
        </is>
      </c>
    </row>
    <row r="278">
      <c r="A278" s="29" t="n">
        <v>45934</v>
      </c>
      <c r="B278" s="18" t="inlineStr">
        <is>
          <t>Parepare</t>
        </is>
      </c>
      <c r="C278" s="18" t="n">
        <v>36.9</v>
      </c>
      <c r="D278" s="18" t="n">
        <v>26.7</v>
      </c>
      <c r="E278" s="18" t="n">
        <v>74</v>
      </c>
      <c r="F278" s="18" t="n">
        <v>2.6</v>
      </c>
      <c r="G278" s="18" t="inlineStr">
        <is>
          <t>Lebat</t>
        </is>
      </c>
    </row>
    <row r="279">
      <c r="A279" s="30" t="n">
        <v>45935</v>
      </c>
      <c r="B279" s="20" t="inlineStr">
        <is>
          <t>Parepare</t>
        </is>
      </c>
      <c r="C279" s="20" t="n">
        <v>0</v>
      </c>
      <c r="D279" s="20" t="n">
        <v>26.3</v>
      </c>
      <c r="E279" s="20" t="n">
        <v>64</v>
      </c>
      <c r="F279" s="20" t="n">
        <v>2.1</v>
      </c>
      <c r="G279" s="20" t="inlineStr">
        <is>
          <t>Tidak hujan</t>
        </is>
      </c>
    </row>
    <row r="280">
      <c r="A280" s="29" t="n">
        <v>45936</v>
      </c>
      <c r="B280" s="18" t="inlineStr">
        <is>
          <t>Parepare</t>
        </is>
      </c>
      <c r="C280" s="18" t="n">
        <v>10.3</v>
      </c>
      <c r="D280" s="18" t="n">
        <v>28.3</v>
      </c>
      <c r="E280" s="18" t="n">
        <v>72</v>
      </c>
      <c r="F280" s="18" t="n">
        <v>1.4</v>
      </c>
      <c r="G280" s="18" t="inlineStr">
        <is>
          <t>Sedang</t>
        </is>
      </c>
    </row>
    <row r="281">
      <c r="A281" s="30" t="n">
        <v>45937</v>
      </c>
      <c r="B281" s="20" t="inlineStr">
        <is>
          <t>Parepare</t>
        </is>
      </c>
      <c r="C281" s="20" t="n">
        <v>23.7</v>
      </c>
      <c r="D281" s="20" t="n">
        <v>26.1</v>
      </c>
      <c r="E281" s="20" t="n">
        <v>81</v>
      </c>
      <c r="F281" s="20" t="n">
        <v>4.7</v>
      </c>
      <c r="G281" s="20" t="inlineStr">
        <is>
          <t>Lebat</t>
        </is>
      </c>
    </row>
    <row r="282">
      <c r="A282" s="29" t="n">
        <v>45938</v>
      </c>
      <c r="B282" s="18" t="inlineStr">
        <is>
          <t>Parepare</t>
        </is>
      </c>
      <c r="C282" s="18" t="n">
        <v>39.8</v>
      </c>
      <c r="D282" s="18" t="n">
        <v>27.2</v>
      </c>
      <c r="E282" s="18" t="n">
        <v>92</v>
      </c>
      <c r="F282" s="18" t="n">
        <v>3.8</v>
      </c>
      <c r="G282" s="18" t="inlineStr">
        <is>
          <t>Lebat</t>
        </is>
      </c>
    </row>
    <row r="283">
      <c r="A283" s="30" t="n">
        <v>45939</v>
      </c>
      <c r="B283" s="20" t="inlineStr">
        <is>
          <t>Parepare</t>
        </is>
      </c>
      <c r="C283" s="20" t="n">
        <v>11.5</v>
      </c>
      <c r="D283" s="20" t="n">
        <v>27.2</v>
      </c>
      <c r="E283" s="20" t="n">
        <v>80</v>
      </c>
      <c r="F283" s="20" t="n">
        <v>1.4</v>
      </c>
      <c r="G283" s="20" t="inlineStr">
        <is>
          <t>Sedang</t>
        </is>
      </c>
    </row>
    <row r="284">
      <c r="A284" s="29" t="n">
        <v>45940</v>
      </c>
      <c r="B284" s="18" t="inlineStr">
        <is>
          <t>Parepare</t>
        </is>
      </c>
      <c r="C284" s="18" t="n">
        <v>8.9</v>
      </c>
      <c r="D284" s="18" t="n">
        <v>29.4</v>
      </c>
      <c r="E284" s="18" t="n">
        <v>74</v>
      </c>
      <c r="F284" s="18" t="n">
        <v>2.7</v>
      </c>
      <c r="G284" s="18" t="inlineStr">
        <is>
          <t>Sedang</t>
        </is>
      </c>
    </row>
    <row r="285">
      <c r="A285" s="30" t="n">
        <v>45941</v>
      </c>
      <c r="B285" s="20" t="inlineStr">
        <is>
          <t>Parepare</t>
        </is>
      </c>
      <c r="C285" s="20" t="n">
        <v>0</v>
      </c>
      <c r="D285" s="20" t="n">
        <v>28.6</v>
      </c>
      <c r="E285" s="20" t="n">
        <v>77</v>
      </c>
      <c r="F285" s="20" t="n">
        <v>1.8</v>
      </c>
      <c r="G285" s="20" t="inlineStr">
        <is>
          <t>Tidak hujan</t>
        </is>
      </c>
    </row>
    <row r="286">
      <c r="A286" s="29" t="n">
        <v>45942</v>
      </c>
      <c r="B286" s="18" t="inlineStr">
        <is>
          <t>Parepare</t>
        </is>
      </c>
      <c r="C286" s="18" t="n">
        <v>21.5</v>
      </c>
      <c r="D286" s="18" t="n">
        <v>27.9</v>
      </c>
      <c r="E286" s="18" t="n">
        <v>77</v>
      </c>
      <c r="F286" s="18" t="n">
        <v>3.8</v>
      </c>
      <c r="G286" s="18" t="inlineStr">
        <is>
          <t>Lebat</t>
        </is>
      </c>
    </row>
    <row r="287">
      <c r="A287" s="30" t="n">
        <v>45943</v>
      </c>
      <c r="B287" s="20" t="inlineStr">
        <is>
          <t>Parepare</t>
        </is>
      </c>
      <c r="C287" s="20" t="n">
        <v>6.2</v>
      </c>
      <c r="D287" s="20" t="n">
        <v>26</v>
      </c>
      <c r="E287" s="20" t="n">
        <v>84</v>
      </c>
      <c r="F287" s="20" t="n">
        <v>1.6</v>
      </c>
      <c r="G287" s="20" t="inlineStr">
        <is>
          <t>Sedang</t>
        </is>
      </c>
    </row>
    <row r="288">
      <c r="A288" s="29" t="n">
        <v>45944</v>
      </c>
      <c r="B288" s="18" t="inlineStr">
        <is>
          <t>Parepare</t>
        </is>
      </c>
      <c r="C288" s="18" t="n">
        <v>12.7</v>
      </c>
      <c r="D288" s="18" t="n">
        <v>26.9</v>
      </c>
      <c r="E288" s="18" t="n">
        <v>88</v>
      </c>
      <c r="F288" s="18" t="n">
        <v>1.8</v>
      </c>
      <c r="G288" s="18" t="inlineStr">
        <is>
          <t>Sedang</t>
        </is>
      </c>
    </row>
    <row r="289">
      <c r="A289" s="30" t="n">
        <v>45945</v>
      </c>
      <c r="B289" s="20" t="inlineStr">
        <is>
          <t>Parepare</t>
        </is>
      </c>
      <c r="C289" s="20" t="n">
        <v>15.9</v>
      </c>
      <c r="D289" s="20" t="n">
        <v>28</v>
      </c>
      <c r="E289" s="20" t="n">
        <v>71</v>
      </c>
      <c r="F289" s="20" t="n">
        <v>3.2</v>
      </c>
      <c r="G289" s="20" t="inlineStr">
        <is>
          <t>Sedang</t>
        </is>
      </c>
    </row>
    <row r="290">
      <c r="A290" s="29" t="n">
        <v>45946</v>
      </c>
      <c r="B290" s="18" t="inlineStr">
        <is>
          <t>Parepare</t>
        </is>
      </c>
      <c r="C290" s="18" t="n">
        <v>15.4</v>
      </c>
      <c r="D290" s="18" t="n">
        <v>24.9</v>
      </c>
      <c r="E290" s="18" t="n">
        <v>89</v>
      </c>
      <c r="F290" s="18" t="n">
        <v>2.8</v>
      </c>
      <c r="G290" s="18" t="inlineStr">
        <is>
          <t>Sedang</t>
        </is>
      </c>
    </row>
    <row r="291">
      <c r="A291" s="30" t="n">
        <v>45947</v>
      </c>
      <c r="B291" s="20" t="inlineStr">
        <is>
          <t>Parepare</t>
        </is>
      </c>
      <c r="C291" s="20" t="n">
        <v>21.8</v>
      </c>
      <c r="D291" s="20" t="n">
        <v>25.8</v>
      </c>
      <c r="E291" s="20" t="n">
        <v>78</v>
      </c>
      <c r="F291" s="20" t="n">
        <v>2.9</v>
      </c>
      <c r="G291" s="20" t="inlineStr">
        <is>
          <t>Lebat</t>
        </is>
      </c>
    </row>
    <row r="292">
      <c r="A292" s="29" t="n">
        <v>45948</v>
      </c>
      <c r="B292" s="18" t="inlineStr">
        <is>
          <t>Parepare</t>
        </is>
      </c>
      <c r="C292" s="18" t="n">
        <v>0</v>
      </c>
      <c r="D292" s="18" t="n">
        <v>29.3</v>
      </c>
      <c r="E292" s="18" t="n">
        <v>63</v>
      </c>
      <c r="F292" s="18" t="n">
        <v>3</v>
      </c>
      <c r="G292" s="18" t="inlineStr">
        <is>
          <t>Tidak hujan</t>
        </is>
      </c>
    </row>
    <row r="293">
      <c r="A293" s="30" t="n">
        <v>45949</v>
      </c>
      <c r="B293" s="20" t="inlineStr">
        <is>
          <t>Parepare</t>
        </is>
      </c>
      <c r="C293" s="20" t="n">
        <v>0</v>
      </c>
      <c r="D293" s="20" t="n">
        <v>27.1</v>
      </c>
      <c r="E293" s="20" t="n">
        <v>69</v>
      </c>
      <c r="F293" s="20" t="n">
        <v>2.8</v>
      </c>
      <c r="G293" s="20" t="inlineStr">
        <is>
          <t>Tidak hujan</t>
        </is>
      </c>
    </row>
    <row r="294">
      <c r="A294" s="29" t="n">
        <v>45950</v>
      </c>
      <c r="B294" s="18" t="inlineStr">
        <is>
          <t>Parepare</t>
        </is>
      </c>
      <c r="C294" s="18" t="n">
        <v>37.3</v>
      </c>
      <c r="D294" s="18" t="n">
        <v>27.5</v>
      </c>
      <c r="E294" s="18" t="n">
        <v>91</v>
      </c>
      <c r="F294" s="18" t="n">
        <v>3.5</v>
      </c>
      <c r="G294" s="18" t="inlineStr">
        <is>
          <t>Lebat</t>
        </is>
      </c>
    </row>
    <row r="295">
      <c r="A295" s="30" t="n">
        <v>45951</v>
      </c>
      <c r="B295" s="20" t="inlineStr">
        <is>
          <t>Parepare</t>
        </is>
      </c>
      <c r="C295" s="20" t="n">
        <v>0</v>
      </c>
      <c r="D295" s="20" t="n">
        <v>28.2</v>
      </c>
      <c r="E295" s="20" t="n">
        <v>71</v>
      </c>
      <c r="F295" s="20" t="n">
        <v>3</v>
      </c>
      <c r="G295" s="20" t="inlineStr">
        <is>
          <t>Tidak hujan</t>
        </is>
      </c>
    </row>
    <row r="296">
      <c r="A296" s="29" t="n">
        <v>45952</v>
      </c>
      <c r="B296" s="18" t="inlineStr">
        <is>
          <t>Parepare</t>
        </is>
      </c>
      <c r="C296" s="18" t="n">
        <v>23.6</v>
      </c>
      <c r="D296" s="18" t="n">
        <v>25.7</v>
      </c>
      <c r="E296" s="18" t="n">
        <v>86</v>
      </c>
      <c r="F296" s="18" t="n">
        <v>2.2</v>
      </c>
      <c r="G296" s="18" t="inlineStr">
        <is>
          <t>Lebat</t>
        </is>
      </c>
    </row>
    <row r="297">
      <c r="A297" s="30" t="n">
        <v>45953</v>
      </c>
      <c r="B297" s="20" t="inlineStr">
        <is>
          <t>Parepare</t>
        </is>
      </c>
      <c r="C297" s="20" t="n">
        <v>0</v>
      </c>
      <c r="D297" s="20" t="n">
        <v>26.2</v>
      </c>
      <c r="E297" s="20" t="n">
        <v>64</v>
      </c>
      <c r="F297" s="20" t="n">
        <v>1.9</v>
      </c>
      <c r="G297" s="20" t="inlineStr">
        <is>
          <t>Tidak hujan</t>
        </is>
      </c>
    </row>
    <row r="298">
      <c r="A298" s="29" t="n">
        <v>45954</v>
      </c>
      <c r="B298" s="18" t="inlineStr">
        <is>
          <t>Parepare</t>
        </is>
      </c>
      <c r="C298" s="18" t="n">
        <v>7.6</v>
      </c>
      <c r="D298" s="18" t="n">
        <v>27.9</v>
      </c>
      <c r="E298" s="18" t="n">
        <v>82</v>
      </c>
      <c r="F298" s="18" t="n">
        <v>1.4</v>
      </c>
      <c r="G298" s="18" t="inlineStr">
        <is>
          <t>Sedang</t>
        </is>
      </c>
    </row>
    <row r="299">
      <c r="A299" s="30" t="n">
        <v>45955</v>
      </c>
      <c r="B299" s="20" t="inlineStr">
        <is>
          <t>Parepare</t>
        </is>
      </c>
      <c r="C299" s="20" t="n">
        <v>0</v>
      </c>
      <c r="D299" s="20" t="n">
        <v>27.6</v>
      </c>
      <c r="E299" s="20" t="n">
        <v>63</v>
      </c>
      <c r="F299" s="20" t="n">
        <v>0.3</v>
      </c>
      <c r="G299" s="20" t="inlineStr">
        <is>
          <t>Tidak hujan</t>
        </is>
      </c>
    </row>
    <row r="300">
      <c r="A300" s="29" t="n">
        <v>45956</v>
      </c>
      <c r="B300" s="18" t="inlineStr">
        <is>
          <t>Parepare</t>
        </is>
      </c>
      <c r="C300" s="18" t="n">
        <v>7.8</v>
      </c>
      <c r="D300" s="18" t="n">
        <v>28.4</v>
      </c>
      <c r="E300" s="18" t="n">
        <v>74</v>
      </c>
      <c r="F300" s="18" t="n">
        <v>2.4</v>
      </c>
      <c r="G300" s="18" t="inlineStr">
        <is>
          <t>Sedang</t>
        </is>
      </c>
    </row>
    <row r="301">
      <c r="A301" s="30" t="n">
        <v>45957</v>
      </c>
      <c r="B301" s="20" t="inlineStr">
        <is>
          <t>Parepare</t>
        </is>
      </c>
      <c r="C301" s="20" t="n">
        <v>8.1</v>
      </c>
      <c r="D301" s="20" t="n">
        <v>25.1</v>
      </c>
      <c r="E301" s="20" t="n">
        <v>69</v>
      </c>
      <c r="F301" s="20" t="n">
        <v>3.8</v>
      </c>
      <c r="G301" s="20" t="inlineStr">
        <is>
          <t>Sedang</t>
        </is>
      </c>
    </row>
    <row r="302">
      <c r="A302" s="29" t="n">
        <v>45958</v>
      </c>
      <c r="B302" s="18" t="inlineStr">
        <is>
          <t>Parepare</t>
        </is>
      </c>
      <c r="C302" s="18" t="n">
        <v>0</v>
      </c>
      <c r="D302" s="18" t="n">
        <v>27.6</v>
      </c>
      <c r="E302" s="18" t="n">
        <v>80</v>
      </c>
      <c r="F302" s="18" t="n">
        <v>2.1</v>
      </c>
      <c r="G302" s="18" t="inlineStr">
        <is>
          <t>Tidak hujan</t>
        </is>
      </c>
    </row>
    <row r="303">
      <c r="A303" s="30" t="n">
        <v>45959</v>
      </c>
      <c r="B303" s="20" t="inlineStr">
        <is>
          <t>Parepare</t>
        </is>
      </c>
      <c r="C303" s="20" t="n">
        <v>6</v>
      </c>
      <c r="D303" s="20" t="n">
        <v>27.7</v>
      </c>
      <c r="E303" s="20" t="n">
        <v>72</v>
      </c>
      <c r="F303" s="20" t="n">
        <v>2.1</v>
      </c>
      <c r="G303" s="20" t="inlineStr">
        <is>
          <t>Sedang</t>
        </is>
      </c>
    </row>
    <row r="304">
      <c r="A304" s="29" t="n">
        <v>45960</v>
      </c>
      <c r="B304" s="18" t="inlineStr">
        <is>
          <t>Parepare</t>
        </is>
      </c>
      <c r="C304" s="18" t="n">
        <v>1.3</v>
      </c>
      <c r="D304" s="18" t="n">
        <v>26.9</v>
      </c>
      <c r="E304" s="18" t="n">
        <v>75</v>
      </c>
      <c r="F304" s="18" t="n">
        <v>1.5</v>
      </c>
      <c r="G304" s="18" t="inlineStr">
        <is>
          <t>Ringan</t>
        </is>
      </c>
    </row>
    <row r="305">
      <c r="A305" s="30" t="n">
        <v>45961</v>
      </c>
      <c r="B305" s="20" t="inlineStr">
        <is>
          <t>Parepare</t>
        </is>
      </c>
      <c r="C305" s="20" t="n">
        <v>16.9</v>
      </c>
      <c r="D305" s="20" t="n">
        <v>28.3</v>
      </c>
      <c r="E305" s="20" t="n">
        <v>85</v>
      </c>
      <c r="F305" s="20" t="n">
        <v>3.6</v>
      </c>
      <c r="G305" s="20" t="inlineStr">
        <is>
          <t>Sedang</t>
        </is>
      </c>
    </row>
    <row r="306">
      <c r="A306" s="29" t="n">
        <v>45962</v>
      </c>
      <c r="B306" s="18" t="inlineStr">
        <is>
          <t>Parepare</t>
        </is>
      </c>
      <c r="C306" s="18" t="n">
        <v>11.2</v>
      </c>
      <c r="D306" s="18" t="n">
        <v>25.3</v>
      </c>
      <c r="E306" s="18" t="n">
        <v>89</v>
      </c>
      <c r="F306" s="18" t="n">
        <v>3.2</v>
      </c>
      <c r="G306" s="18" t="inlineStr">
        <is>
          <t>Sedang</t>
        </is>
      </c>
    </row>
    <row r="307">
      <c r="A307" s="30" t="n">
        <v>45963</v>
      </c>
      <c r="B307" s="20" t="inlineStr">
        <is>
          <t>Parepare</t>
        </is>
      </c>
      <c r="C307" s="20" t="n">
        <v>0</v>
      </c>
      <c r="D307" s="20" t="n">
        <v>27</v>
      </c>
      <c r="E307" s="20" t="n">
        <v>64</v>
      </c>
      <c r="F307" s="20" t="n">
        <v>2.5</v>
      </c>
      <c r="G307" s="20" t="inlineStr">
        <is>
          <t>Tidak hujan</t>
        </is>
      </c>
    </row>
    <row r="308">
      <c r="A308" s="29" t="n">
        <v>45964</v>
      </c>
      <c r="B308" s="18" t="inlineStr">
        <is>
          <t>Parepare</t>
        </is>
      </c>
      <c r="C308" s="18" t="n">
        <v>10.8</v>
      </c>
      <c r="D308" s="18" t="n">
        <v>25.1</v>
      </c>
      <c r="E308" s="18" t="n">
        <v>77</v>
      </c>
      <c r="F308" s="18" t="n">
        <v>1.9</v>
      </c>
      <c r="G308" s="18" t="inlineStr">
        <is>
          <t>Sedang</t>
        </is>
      </c>
    </row>
    <row r="309">
      <c r="A309" s="30" t="n">
        <v>45965</v>
      </c>
      <c r="B309" s="20" t="inlineStr">
        <is>
          <t>Parepare</t>
        </is>
      </c>
      <c r="C309" s="20" t="n">
        <v>5.5</v>
      </c>
      <c r="D309" s="20" t="n">
        <v>26.8</v>
      </c>
      <c r="E309" s="20" t="n">
        <v>76</v>
      </c>
      <c r="F309" s="20" t="n">
        <v>2</v>
      </c>
      <c r="G309" s="20" t="inlineStr">
        <is>
          <t>Sedang</t>
        </is>
      </c>
    </row>
    <row r="310">
      <c r="A310" s="29" t="n">
        <v>45966</v>
      </c>
      <c r="B310" s="18" t="inlineStr">
        <is>
          <t>Parepare</t>
        </is>
      </c>
      <c r="C310" s="18" t="n">
        <v>13.4</v>
      </c>
      <c r="D310" s="18" t="n">
        <v>26.6</v>
      </c>
      <c r="E310" s="18" t="n">
        <v>71</v>
      </c>
      <c r="F310" s="18" t="n">
        <v>3.2</v>
      </c>
      <c r="G310" s="18" t="inlineStr">
        <is>
          <t>Sedang</t>
        </is>
      </c>
    </row>
    <row r="311">
      <c r="A311" s="30" t="n">
        <v>45967</v>
      </c>
      <c r="B311" s="20" t="inlineStr">
        <is>
          <t>Parepare</t>
        </is>
      </c>
      <c r="C311" s="20" t="n">
        <v>18.6</v>
      </c>
      <c r="D311" s="20" t="n">
        <v>25.4</v>
      </c>
      <c r="E311" s="20" t="n">
        <v>74</v>
      </c>
      <c r="F311" s="20" t="n">
        <v>3.2</v>
      </c>
      <c r="G311" s="20" t="inlineStr">
        <is>
          <t>Sedang</t>
        </is>
      </c>
    </row>
    <row r="312">
      <c r="A312" s="29" t="n">
        <v>45968</v>
      </c>
      <c r="B312" s="18" t="inlineStr">
        <is>
          <t>Parepare</t>
        </is>
      </c>
      <c r="C312" s="18" t="n">
        <v>0</v>
      </c>
      <c r="D312" s="18" t="n">
        <v>25.4</v>
      </c>
      <c r="E312" s="18" t="n">
        <v>73</v>
      </c>
      <c r="F312" s="18" t="n">
        <v>2.4</v>
      </c>
      <c r="G312" s="18" t="inlineStr">
        <is>
          <t>Tidak hujan</t>
        </is>
      </c>
    </row>
    <row r="313">
      <c r="A313" s="30" t="n">
        <v>45969</v>
      </c>
      <c r="B313" s="20" t="inlineStr">
        <is>
          <t>Parepare</t>
        </is>
      </c>
      <c r="C313" s="20" t="n">
        <v>0</v>
      </c>
      <c r="D313" s="20" t="n">
        <v>28.7</v>
      </c>
      <c r="E313" s="20" t="n">
        <v>63</v>
      </c>
      <c r="F313" s="20" t="n">
        <v>2.5</v>
      </c>
      <c r="G313" s="20" t="inlineStr">
        <is>
          <t>Tidak hujan</t>
        </is>
      </c>
    </row>
    <row r="314">
      <c r="A314" s="29" t="n">
        <v>45970</v>
      </c>
      <c r="B314" s="18" t="inlineStr">
        <is>
          <t>Parepare</t>
        </is>
      </c>
      <c r="C314" s="18" t="n">
        <v>0</v>
      </c>
      <c r="D314" s="18" t="n">
        <v>28.1</v>
      </c>
      <c r="E314" s="18" t="n">
        <v>61</v>
      </c>
      <c r="F314" s="18" t="n">
        <v>1</v>
      </c>
      <c r="G314" s="18" t="inlineStr">
        <is>
          <t>Tidak hujan</t>
        </is>
      </c>
    </row>
    <row r="315">
      <c r="A315" s="30" t="n">
        <v>45971</v>
      </c>
      <c r="B315" s="20" t="inlineStr">
        <is>
          <t>Parepare</t>
        </is>
      </c>
      <c r="C315" s="20" t="n">
        <v>0</v>
      </c>
      <c r="D315" s="20" t="n">
        <v>28.6</v>
      </c>
      <c r="E315" s="20" t="n">
        <v>77</v>
      </c>
      <c r="F315" s="20" t="n">
        <v>2</v>
      </c>
      <c r="G315" s="20" t="inlineStr">
        <is>
          <t>Tidak hujan</t>
        </is>
      </c>
    </row>
    <row r="316">
      <c r="A316" s="29" t="n">
        <v>45972</v>
      </c>
      <c r="B316" s="18" t="inlineStr">
        <is>
          <t>Parepare</t>
        </is>
      </c>
      <c r="C316" s="18" t="n">
        <v>2.9</v>
      </c>
      <c r="D316" s="18" t="n">
        <v>27.8</v>
      </c>
      <c r="E316" s="18" t="n">
        <v>72</v>
      </c>
      <c r="F316" s="18" t="n">
        <v>2.4</v>
      </c>
      <c r="G316" s="18" t="inlineStr">
        <is>
          <t>Ringan</t>
        </is>
      </c>
    </row>
    <row r="317">
      <c r="A317" s="30" t="n">
        <v>45973</v>
      </c>
      <c r="B317" s="20" t="inlineStr">
        <is>
          <t>Parepare</t>
        </is>
      </c>
      <c r="C317" s="20" t="n">
        <v>11.7</v>
      </c>
      <c r="D317" s="20" t="n">
        <v>24.4</v>
      </c>
      <c r="E317" s="20" t="n">
        <v>85</v>
      </c>
      <c r="F317" s="20" t="n">
        <v>3.3</v>
      </c>
      <c r="G317" s="20" t="inlineStr">
        <is>
          <t>Sedang</t>
        </is>
      </c>
    </row>
    <row r="318">
      <c r="A318" s="29" t="n">
        <v>45974</v>
      </c>
      <c r="B318" s="18" t="inlineStr">
        <is>
          <t>Parepare</t>
        </is>
      </c>
      <c r="C318" s="18" t="n">
        <v>16</v>
      </c>
      <c r="D318" s="18" t="n">
        <v>25.6</v>
      </c>
      <c r="E318" s="18" t="n">
        <v>90</v>
      </c>
      <c r="F318" s="18" t="n">
        <v>2.3</v>
      </c>
      <c r="G318" s="18" t="inlineStr">
        <is>
          <t>Sedang</t>
        </is>
      </c>
    </row>
    <row r="319">
      <c r="A319" s="30" t="n">
        <v>45975</v>
      </c>
      <c r="B319" s="20" t="inlineStr">
        <is>
          <t>Parepare</t>
        </is>
      </c>
      <c r="C319" s="20" t="n">
        <v>7.1</v>
      </c>
      <c r="D319" s="20" t="n">
        <v>25.5</v>
      </c>
      <c r="E319" s="20" t="n">
        <v>81</v>
      </c>
      <c r="F319" s="20" t="n">
        <v>4</v>
      </c>
      <c r="G319" s="20" t="inlineStr">
        <is>
          <t>Sedang</t>
        </is>
      </c>
    </row>
    <row r="320">
      <c r="A320" s="29" t="n">
        <v>45976</v>
      </c>
      <c r="B320" s="18" t="inlineStr">
        <is>
          <t>Parepare</t>
        </is>
      </c>
      <c r="C320" s="18" t="n">
        <v>2</v>
      </c>
      <c r="D320" s="18" t="n">
        <v>27</v>
      </c>
      <c r="E320" s="18" t="n">
        <v>75</v>
      </c>
      <c r="F320" s="18" t="n">
        <v>1.6</v>
      </c>
      <c r="G320" s="18" t="inlineStr">
        <is>
          <t>Ringan</t>
        </is>
      </c>
    </row>
    <row r="321">
      <c r="A321" s="30" t="n">
        <v>45977</v>
      </c>
      <c r="B321" s="20" t="inlineStr">
        <is>
          <t>Parepare</t>
        </is>
      </c>
      <c r="C321" s="20" t="n">
        <v>0</v>
      </c>
      <c r="D321" s="20" t="n">
        <v>28.8</v>
      </c>
      <c r="E321" s="20" t="n">
        <v>76</v>
      </c>
      <c r="F321" s="20" t="n">
        <v>3.7</v>
      </c>
      <c r="G321" s="20" t="inlineStr">
        <is>
          <t>Tidak hujan</t>
        </is>
      </c>
    </row>
    <row r="322">
      <c r="A322" s="29" t="n">
        <v>45978</v>
      </c>
      <c r="B322" s="18" t="inlineStr">
        <is>
          <t>Parepare</t>
        </is>
      </c>
      <c r="C322" s="18" t="n">
        <v>0</v>
      </c>
      <c r="D322" s="18" t="n">
        <v>28.3</v>
      </c>
      <c r="E322" s="18" t="n">
        <v>65</v>
      </c>
      <c r="F322" s="18" t="n">
        <v>1.7</v>
      </c>
      <c r="G322" s="18" t="inlineStr">
        <is>
          <t>Tidak hujan</t>
        </is>
      </c>
    </row>
    <row r="323">
      <c r="A323" s="30" t="n">
        <v>45979</v>
      </c>
      <c r="B323" s="20" t="inlineStr">
        <is>
          <t>Parepare</t>
        </is>
      </c>
      <c r="C323" s="20" t="n">
        <v>0</v>
      </c>
      <c r="D323" s="20" t="n">
        <v>27.1</v>
      </c>
      <c r="E323" s="20" t="n">
        <v>73</v>
      </c>
      <c r="F323" s="20" t="n">
        <v>2.5</v>
      </c>
      <c r="G323" s="20" t="inlineStr">
        <is>
          <t>Tidak hujan</t>
        </is>
      </c>
    </row>
    <row r="324">
      <c r="A324" s="29" t="n">
        <v>45980</v>
      </c>
      <c r="B324" s="18" t="inlineStr">
        <is>
          <t>Parepare</t>
        </is>
      </c>
      <c r="C324" s="18" t="n">
        <v>0</v>
      </c>
      <c r="D324" s="18" t="n">
        <v>28.2</v>
      </c>
      <c r="E324" s="18" t="n">
        <v>70</v>
      </c>
      <c r="F324" s="18" t="n">
        <v>3.3</v>
      </c>
      <c r="G324" s="18" t="inlineStr">
        <is>
          <t>Tidak hujan</t>
        </is>
      </c>
    </row>
    <row r="325">
      <c r="A325" s="30" t="n">
        <v>45981</v>
      </c>
      <c r="B325" s="20" t="inlineStr">
        <is>
          <t>Parepare</t>
        </is>
      </c>
      <c r="C325" s="20" t="n">
        <v>15.5</v>
      </c>
      <c r="D325" s="20" t="n">
        <v>25.2</v>
      </c>
      <c r="E325" s="20" t="n">
        <v>81</v>
      </c>
      <c r="F325" s="20" t="n">
        <v>3</v>
      </c>
      <c r="G325" s="20" t="inlineStr">
        <is>
          <t>Sedang</t>
        </is>
      </c>
    </row>
    <row r="326">
      <c r="A326" s="29" t="n">
        <v>45982</v>
      </c>
      <c r="B326" s="18" t="inlineStr">
        <is>
          <t>Parepare</t>
        </is>
      </c>
      <c r="C326" s="18" t="n">
        <v>0</v>
      </c>
      <c r="D326" s="18" t="n">
        <v>25.3</v>
      </c>
      <c r="E326" s="18" t="n">
        <v>67</v>
      </c>
      <c r="F326" s="18" t="n">
        <v>0.4</v>
      </c>
      <c r="G326" s="18" t="inlineStr">
        <is>
          <t>Tidak hujan</t>
        </is>
      </c>
    </row>
    <row r="327">
      <c r="A327" s="30" t="n">
        <v>45983</v>
      </c>
      <c r="B327" s="20" t="inlineStr">
        <is>
          <t>Parepare</t>
        </is>
      </c>
      <c r="C327" s="20" t="n">
        <v>11.8</v>
      </c>
      <c r="D327" s="20" t="n">
        <v>26.6</v>
      </c>
      <c r="E327" s="20" t="n">
        <v>82</v>
      </c>
      <c r="F327" s="20" t="n">
        <v>0.9</v>
      </c>
      <c r="G327" s="20" t="inlineStr">
        <is>
          <t>Sedang</t>
        </is>
      </c>
    </row>
    <row r="328">
      <c r="A328" s="29" t="n">
        <v>45984</v>
      </c>
      <c r="B328" s="18" t="inlineStr">
        <is>
          <t>Parepare</t>
        </is>
      </c>
      <c r="C328" s="18" t="n">
        <v>45.9</v>
      </c>
      <c r="D328" s="18" t="n">
        <v>24.4</v>
      </c>
      <c r="E328" s="18" t="n">
        <v>80</v>
      </c>
      <c r="F328" s="18" t="n">
        <v>4.6</v>
      </c>
      <c r="G328" s="18" t="inlineStr">
        <is>
          <t>Lebat</t>
        </is>
      </c>
    </row>
    <row r="329">
      <c r="A329" s="30" t="n">
        <v>45985</v>
      </c>
      <c r="B329" s="20" t="inlineStr">
        <is>
          <t>Parepare</t>
        </is>
      </c>
      <c r="C329" s="20" t="n">
        <v>35.6</v>
      </c>
      <c r="D329" s="20" t="n">
        <v>27.1</v>
      </c>
      <c r="E329" s="20" t="n">
        <v>90</v>
      </c>
      <c r="F329" s="20" t="n">
        <v>3.6</v>
      </c>
      <c r="G329" s="20" t="inlineStr">
        <is>
          <t>Lebat</t>
        </is>
      </c>
    </row>
    <row r="330">
      <c r="A330" s="29" t="n">
        <v>45986</v>
      </c>
      <c r="B330" s="18" t="inlineStr">
        <is>
          <t>Parepare</t>
        </is>
      </c>
      <c r="C330" s="18" t="n">
        <v>0</v>
      </c>
      <c r="D330" s="18" t="n">
        <v>27.6</v>
      </c>
      <c r="E330" s="18" t="n">
        <v>72</v>
      </c>
      <c r="F330" s="18" t="n">
        <v>0.9</v>
      </c>
      <c r="G330" s="18" t="inlineStr">
        <is>
          <t>Tidak hujan</t>
        </is>
      </c>
    </row>
    <row r="331">
      <c r="A331" s="30" t="n">
        <v>45987</v>
      </c>
      <c r="B331" s="20" t="inlineStr">
        <is>
          <t>Parepare</t>
        </is>
      </c>
      <c r="C331" s="20" t="n">
        <v>3</v>
      </c>
      <c r="D331" s="20" t="n">
        <v>24.7</v>
      </c>
      <c r="E331" s="20" t="n">
        <v>71</v>
      </c>
      <c r="F331" s="20" t="n">
        <v>1.3</v>
      </c>
      <c r="G331" s="20" t="inlineStr">
        <is>
          <t>Ringan</t>
        </is>
      </c>
    </row>
    <row r="332">
      <c r="A332" s="29" t="n">
        <v>45988</v>
      </c>
      <c r="B332" s="18" t="inlineStr">
        <is>
          <t>Parepare</t>
        </is>
      </c>
      <c r="C332" s="18" t="n">
        <v>16.7</v>
      </c>
      <c r="D332" s="18" t="n">
        <v>27.7</v>
      </c>
      <c r="E332" s="18" t="n">
        <v>80</v>
      </c>
      <c r="F332" s="18" t="n">
        <v>3.8</v>
      </c>
      <c r="G332" s="18" t="inlineStr">
        <is>
          <t>Sedang</t>
        </is>
      </c>
    </row>
    <row r="333">
      <c r="A333" s="30" t="n">
        <v>45989</v>
      </c>
      <c r="B333" s="20" t="inlineStr">
        <is>
          <t>Parepare</t>
        </is>
      </c>
      <c r="C333" s="20" t="n">
        <v>7.1</v>
      </c>
      <c r="D333" s="20" t="n">
        <v>25</v>
      </c>
      <c r="E333" s="20" t="n">
        <v>89</v>
      </c>
      <c r="F333" s="20" t="n">
        <v>0.3</v>
      </c>
      <c r="G333" s="20" t="inlineStr">
        <is>
          <t>Sedang</t>
        </is>
      </c>
    </row>
    <row r="334">
      <c r="A334" s="29" t="n">
        <v>45990</v>
      </c>
      <c r="B334" s="18" t="inlineStr">
        <is>
          <t>Parepare</t>
        </is>
      </c>
      <c r="C334" s="18" t="n">
        <v>30.6</v>
      </c>
      <c r="D334" s="18" t="n">
        <v>27.6</v>
      </c>
      <c r="E334" s="18" t="n">
        <v>79</v>
      </c>
      <c r="F334" s="18" t="n">
        <v>3.9</v>
      </c>
      <c r="G334" s="18" t="inlineStr">
        <is>
          <t>Lebat</t>
        </is>
      </c>
    </row>
    <row r="335">
      <c r="A335" s="30" t="n">
        <v>45991</v>
      </c>
      <c r="B335" s="20" t="inlineStr">
        <is>
          <t>Parepare</t>
        </is>
      </c>
      <c r="C335" s="20" t="n">
        <v>8.1</v>
      </c>
      <c r="D335" s="20" t="n">
        <v>25.7</v>
      </c>
      <c r="E335" s="20" t="n">
        <v>86</v>
      </c>
      <c r="F335" s="20" t="n">
        <v>3.9</v>
      </c>
      <c r="G335" s="20" t="inlineStr">
        <is>
          <t>Sedang</t>
        </is>
      </c>
    </row>
    <row r="336">
      <c r="A336" s="29" t="n">
        <v>45992</v>
      </c>
      <c r="B336" s="18" t="inlineStr">
        <is>
          <t>Parepare</t>
        </is>
      </c>
      <c r="C336" s="18" t="n">
        <v>28.5</v>
      </c>
      <c r="D336" s="18" t="n">
        <v>27.9</v>
      </c>
      <c r="E336" s="18" t="n">
        <v>83</v>
      </c>
      <c r="F336" s="18" t="n">
        <v>3.8</v>
      </c>
      <c r="G336" s="18" t="inlineStr">
        <is>
          <t>Lebat</t>
        </is>
      </c>
    </row>
    <row r="337">
      <c r="A337" s="30" t="n">
        <v>45993</v>
      </c>
      <c r="B337" s="20" t="inlineStr">
        <is>
          <t>Parepare</t>
        </is>
      </c>
      <c r="C337" s="20" t="n">
        <v>12.5</v>
      </c>
      <c r="D337" s="20" t="n">
        <v>25.4</v>
      </c>
      <c r="E337" s="20" t="n">
        <v>86</v>
      </c>
      <c r="F337" s="20" t="n">
        <v>3.3</v>
      </c>
      <c r="G337" s="20" t="inlineStr">
        <is>
          <t>Sedang</t>
        </is>
      </c>
    </row>
    <row r="338">
      <c r="A338" s="29" t="n">
        <v>45994</v>
      </c>
      <c r="B338" s="18" t="inlineStr">
        <is>
          <t>Parepare</t>
        </is>
      </c>
      <c r="C338" s="18" t="n">
        <v>5.8</v>
      </c>
      <c r="D338" s="18" t="n">
        <v>26.3</v>
      </c>
      <c r="E338" s="18" t="n">
        <v>82</v>
      </c>
      <c r="F338" s="18" t="n">
        <v>2.7</v>
      </c>
      <c r="G338" s="18" t="inlineStr">
        <is>
          <t>Sedang</t>
        </is>
      </c>
    </row>
    <row r="339">
      <c r="A339" s="30" t="n">
        <v>45995</v>
      </c>
      <c r="B339" s="20" t="inlineStr">
        <is>
          <t>Parepare</t>
        </is>
      </c>
      <c r="C339" s="20" t="n">
        <v>19.5</v>
      </c>
      <c r="D339" s="20" t="n">
        <v>26.3</v>
      </c>
      <c r="E339" s="20" t="n">
        <v>73</v>
      </c>
      <c r="F339" s="20" t="n">
        <v>3.8</v>
      </c>
      <c r="G339" s="20" t="inlineStr">
        <is>
          <t>Sedang</t>
        </is>
      </c>
    </row>
    <row r="340">
      <c r="A340" s="29" t="n">
        <v>45996</v>
      </c>
      <c r="B340" s="18" t="inlineStr">
        <is>
          <t>Parepare</t>
        </is>
      </c>
      <c r="C340" s="18" t="n">
        <v>0</v>
      </c>
      <c r="D340" s="18" t="n">
        <v>25</v>
      </c>
      <c r="E340" s="18" t="n">
        <v>74</v>
      </c>
      <c r="F340" s="18" t="n">
        <v>2</v>
      </c>
      <c r="G340" s="18" t="inlineStr">
        <is>
          <t>Tidak hujan</t>
        </is>
      </c>
    </row>
    <row r="341">
      <c r="A341" s="30" t="n">
        <v>45997</v>
      </c>
      <c r="B341" s="20" t="inlineStr">
        <is>
          <t>Parepare</t>
        </is>
      </c>
      <c r="C341" s="20" t="n">
        <v>10.7</v>
      </c>
      <c r="D341" s="20" t="n">
        <v>24.1</v>
      </c>
      <c r="E341" s="20" t="n">
        <v>83</v>
      </c>
      <c r="F341" s="20" t="n">
        <v>3.7</v>
      </c>
      <c r="G341" s="20" t="inlineStr">
        <is>
          <t>Sedang</t>
        </is>
      </c>
    </row>
    <row r="342">
      <c r="A342" s="29" t="n">
        <v>45998</v>
      </c>
      <c r="B342" s="18" t="inlineStr">
        <is>
          <t>Parepare</t>
        </is>
      </c>
      <c r="C342" s="18" t="n">
        <v>6.2</v>
      </c>
      <c r="D342" s="18" t="n">
        <v>24.8</v>
      </c>
      <c r="E342" s="18" t="n">
        <v>87</v>
      </c>
      <c r="F342" s="18" t="n">
        <v>3.5</v>
      </c>
      <c r="G342" s="18" t="inlineStr">
        <is>
          <t>Sedang</t>
        </is>
      </c>
    </row>
    <row r="343">
      <c r="A343" s="30" t="n">
        <v>45999</v>
      </c>
      <c r="B343" s="20" t="inlineStr">
        <is>
          <t>Parepare</t>
        </is>
      </c>
      <c r="C343" s="20" t="n">
        <v>20.1</v>
      </c>
      <c r="D343" s="20" t="n">
        <v>24.9</v>
      </c>
      <c r="E343" s="20" t="n">
        <v>80</v>
      </c>
      <c r="F343" s="20" t="n">
        <v>4.1</v>
      </c>
      <c r="G343" s="20" t="inlineStr">
        <is>
          <t>Lebat</t>
        </is>
      </c>
    </row>
    <row r="344">
      <c r="A344" s="29" t="n">
        <v>46000</v>
      </c>
      <c r="B344" s="18" t="inlineStr">
        <is>
          <t>Parepare</t>
        </is>
      </c>
      <c r="C344" s="18" t="n">
        <v>18.4</v>
      </c>
      <c r="D344" s="18" t="n">
        <v>25.2</v>
      </c>
      <c r="E344" s="18" t="n">
        <v>89</v>
      </c>
      <c r="F344" s="18" t="n">
        <v>4.2</v>
      </c>
      <c r="G344" s="18" t="inlineStr">
        <is>
          <t>Sedang</t>
        </is>
      </c>
    </row>
    <row r="345">
      <c r="A345" s="30" t="n">
        <v>46001</v>
      </c>
      <c r="B345" s="20" t="inlineStr">
        <is>
          <t>Parepare</t>
        </is>
      </c>
      <c r="C345" s="20" t="n">
        <v>0</v>
      </c>
      <c r="D345" s="20" t="n">
        <v>25.3</v>
      </c>
      <c r="E345" s="20" t="n">
        <v>73</v>
      </c>
      <c r="F345" s="20" t="n">
        <v>2.1</v>
      </c>
      <c r="G345" s="20" t="inlineStr">
        <is>
          <t>Tidak hujan</t>
        </is>
      </c>
    </row>
    <row r="346">
      <c r="A346" s="29" t="n">
        <v>46002</v>
      </c>
      <c r="B346" s="18" t="inlineStr">
        <is>
          <t>Parepare</t>
        </is>
      </c>
      <c r="C346" s="18" t="n">
        <v>52.9</v>
      </c>
      <c r="D346" s="18" t="n">
        <v>26.4</v>
      </c>
      <c r="E346" s="18" t="n">
        <v>88</v>
      </c>
      <c r="F346" s="18" t="n">
        <v>3.7</v>
      </c>
      <c r="G346" s="18" t="inlineStr">
        <is>
          <t>Lebat</t>
        </is>
      </c>
    </row>
    <row r="347">
      <c r="A347" s="30" t="n">
        <v>46003</v>
      </c>
      <c r="B347" s="20" t="inlineStr">
        <is>
          <t>Parepare</t>
        </is>
      </c>
      <c r="C347" s="20" t="n">
        <v>0</v>
      </c>
      <c r="D347" s="20" t="n">
        <v>27.8</v>
      </c>
      <c r="E347" s="20" t="n">
        <v>70</v>
      </c>
      <c r="F347" s="20" t="n">
        <v>1.8</v>
      </c>
      <c r="G347" s="20" t="inlineStr">
        <is>
          <t>Tidak hujan</t>
        </is>
      </c>
    </row>
    <row r="348">
      <c r="A348" s="29" t="n">
        <v>46004</v>
      </c>
      <c r="B348" s="18" t="inlineStr">
        <is>
          <t>Parepare</t>
        </is>
      </c>
      <c r="C348" s="18" t="n">
        <v>8.300000000000001</v>
      </c>
      <c r="D348" s="18" t="n">
        <v>25.3</v>
      </c>
      <c r="E348" s="18" t="n">
        <v>72</v>
      </c>
      <c r="F348" s="18" t="n">
        <v>2.5</v>
      </c>
      <c r="G348" s="18" t="inlineStr">
        <is>
          <t>Sedang</t>
        </is>
      </c>
    </row>
    <row r="349">
      <c r="A349" s="30" t="n">
        <v>46005</v>
      </c>
      <c r="B349" s="20" t="inlineStr">
        <is>
          <t>Parepare</t>
        </is>
      </c>
      <c r="C349" s="20" t="n">
        <v>15</v>
      </c>
      <c r="D349" s="20" t="n">
        <v>25.7</v>
      </c>
      <c r="E349" s="20" t="n">
        <v>79</v>
      </c>
      <c r="F349" s="20" t="n">
        <v>3.7</v>
      </c>
      <c r="G349" s="20" t="inlineStr">
        <is>
          <t>Sedang</t>
        </is>
      </c>
    </row>
    <row r="350">
      <c r="A350" s="29" t="n">
        <v>46006</v>
      </c>
      <c r="B350" s="18" t="inlineStr">
        <is>
          <t>Parepare</t>
        </is>
      </c>
      <c r="C350" s="18" t="n">
        <v>11.6</v>
      </c>
      <c r="D350" s="18" t="n">
        <v>25.6</v>
      </c>
      <c r="E350" s="18" t="n">
        <v>84</v>
      </c>
      <c r="F350" s="18" t="n">
        <v>3.2</v>
      </c>
      <c r="G350" s="18" t="inlineStr">
        <is>
          <t>Sedang</t>
        </is>
      </c>
    </row>
    <row r="351">
      <c r="A351" s="30" t="n">
        <v>46007</v>
      </c>
      <c r="B351" s="20" t="inlineStr">
        <is>
          <t>Parepare</t>
        </is>
      </c>
      <c r="C351" s="20" t="n">
        <v>0</v>
      </c>
      <c r="D351" s="20" t="n">
        <v>28.5</v>
      </c>
      <c r="E351" s="20" t="n">
        <v>71</v>
      </c>
      <c r="F351" s="20" t="n">
        <v>1.4</v>
      </c>
      <c r="G351" s="20" t="inlineStr">
        <is>
          <t>Tidak hujan</t>
        </is>
      </c>
    </row>
    <row r="352">
      <c r="A352" s="29" t="n">
        <v>46008</v>
      </c>
      <c r="B352" s="18" t="inlineStr">
        <is>
          <t>Parepare</t>
        </is>
      </c>
      <c r="C352" s="18" t="n">
        <v>27.1</v>
      </c>
      <c r="D352" s="18" t="n">
        <v>27.6</v>
      </c>
      <c r="E352" s="18" t="n">
        <v>90</v>
      </c>
      <c r="F352" s="18" t="n">
        <v>4.2</v>
      </c>
      <c r="G352" s="18" t="inlineStr">
        <is>
          <t>Lebat</t>
        </is>
      </c>
    </row>
    <row r="353">
      <c r="A353" s="30" t="n">
        <v>46009</v>
      </c>
      <c r="B353" s="20" t="inlineStr">
        <is>
          <t>Parepare</t>
        </is>
      </c>
      <c r="C353" s="20" t="n">
        <v>0</v>
      </c>
      <c r="D353" s="20" t="n">
        <v>25.1</v>
      </c>
      <c r="E353" s="20" t="n">
        <v>66</v>
      </c>
      <c r="F353" s="20" t="n">
        <v>2</v>
      </c>
      <c r="G353" s="20" t="inlineStr">
        <is>
          <t>Tidak hujan</t>
        </is>
      </c>
    </row>
    <row r="354">
      <c r="A354" s="29" t="n">
        <v>46010</v>
      </c>
      <c r="B354" s="18" t="inlineStr">
        <is>
          <t>Parepare</t>
        </is>
      </c>
      <c r="C354" s="18" t="n">
        <v>0</v>
      </c>
      <c r="D354" s="18" t="n">
        <v>26.3</v>
      </c>
      <c r="E354" s="18" t="n">
        <v>79</v>
      </c>
      <c r="F354" s="18" t="n">
        <v>3.6</v>
      </c>
      <c r="G354" s="18" t="inlineStr">
        <is>
          <t>Tidak hujan</t>
        </is>
      </c>
    </row>
    <row r="355">
      <c r="A355" s="30" t="n">
        <v>46011</v>
      </c>
      <c r="B355" s="20" t="inlineStr">
        <is>
          <t>Parepare</t>
        </is>
      </c>
      <c r="C355" s="20" t="n">
        <v>27.4</v>
      </c>
      <c r="D355" s="20" t="n">
        <v>27.9</v>
      </c>
      <c r="E355" s="20" t="n">
        <v>76</v>
      </c>
      <c r="F355" s="20" t="n">
        <v>2.7</v>
      </c>
      <c r="G355" s="20" t="inlineStr">
        <is>
          <t>Lebat</t>
        </is>
      </c>
    </row>
    <row r="356">
      <c r="A356" s="29" t="n">
        <v>46012</v>
      </c>
      <c r="B356" s="18" t="inlineStr">
        <is>
          <t>Parepare</t>
        </is>
      </c>
      <c r="C356" s="18" t="n">
        <v>1</v>
      </c>
      <c r="D356" s="18" t="n">
        <v>25.1</v>
      </c>
      <c r="E356" s="18" t="n">
        <v>88</v>
      </c>
      <c r="F356" s="18" t="n">
        <v>3.2</v>
      </c>
      <c r="G356" s="18" t="inlineStr">
        <is>
          <t>Ringan</t>
        </is>
      </c>
    </row>
    <row r="357">
      <c r="A357" s="30" t="n">
        <v>46013</v>
      </c>
      <c r="B357" s="20" t="inlineStr">
        <is>
          <t>Parepare</t>
        </is>
      </c>
      <c r="C357" s="20" t="n">
        <v>34.7</v>
      </c>
      <c r="D357" s="20" t="n">
        <v>27.8</v>
      </c>
      <c r="E357" s="20" t="n">
        <v>92</v>
      </c>
      <c r="F357" s="20" t="n">
        <v>3.3</v>
      </c>
      <c r="G357" s="20" t="inlineStr">
        <is>
          <t>Lebat</t>
        </is>
      </c>
    </row>
    <row r="358">
      <c r="A358" s="29" t="n">
        <v>46014</v>
      </c>
      <c r="B358" s="18" t="inlineStr">
        <is>
          <t>Parepare</t>
        </is>
      </c>
      <c r="C358" s="18" t="n">
        <v>19.6</v>
      </c>
      <c r="D358" s="18" t="n">
        <v>27.5</v>
      </c>
      <c r="E358" s="18" t="n">
        <v>72</v>
      </c>
      <c r="F358" s="18" t="n">
        <v>4.5</v>
      </c>
      <c r="G358" s="18" t="inlineStr">
        <is>
          <t>Sedang</t>
        </is>
      </c>
    </row>
    <row r="359">
      <c r="A359" s="30" t="n">
        <v>46015</v>
      </c>
      <c r="B359" s="20" t="inlineStr">
        <is>
          <t>Parepare</t>
        </is>
      </c>
      <c r="C359" s="20" t="n">
        <v>5.1</v>
      </c>
      <c r="D359" s="20" t="n">
        <v>25</v>
      </c>
      <c r="E359" s="20" t="n">
        <v>70</v>
      </c>
      <c r="F359" s="20" t="n">
        <v>1.7</v>
      </c>
      <c r="G359" s="20" t="inlineStr">
        <is>
          <t>Sedang</t>
        </is>
      </c>
    </row>
    <row r="360">
      <c r="A360" s="29" t="n">
        <v>46016</v>
      </c>
      <c r="B360" s="18" t="inlineStr">
        <is>
          <t>Parepare</t>
        </is>
      </c>
      <c r="C360" s="18" t="n">
        <v>0</v>
      </c>
      <c r="D360" s="18" t="n">
        <v>26.1</v>
      </c>
      <c r="E360" s="18" t="n">
        <v>72</v>
      </c>
      <c r="F360" s="18" t="n">
        <v>1.7</v>
      </c>
      <c r="G360" s="18" t="inlineStr">
        <is>
          <t>Tidak hujan</t>
        </is>
      </c>
    </row>
    <row r="361">
      <c r="A361" s="30" t="n">
        <v>46017</v>
      </c>
      <c r="B361" s="20" t="inlineStr">
        <is>
          <t>Parepare</t>
        </is>
      </c>
      <c r="C361" s="20" t="n">
        <v>25</v>
      </c>
      <c r="D361" s="20" t="n">
        <v>24.1</v>
      </c>
      <c r="E361" s="20" t="n">
        <v>80</v>
      </c>
      <c r="F361" s="20" t="n">
        <v>4.3</v>
      </c>
      <c r="G361" s="20" t="inlineStr">
        <is>
          <t>Lebat</t>
        </is>
      </c>
    </row>
    <row r="362">
      <c r="A362" s="29" t="n">
        <v>46018</v>
      </c>
      <c r="B362" s="18" t="inlineStr">
        <is>
          <t>Parepare</t>
        </is>
      </c>
      <c r="C362" s="18" t="n">
        <v>12</v>
      </c>
      <c r="D362" s="18" t="n">
        <v>27.6</v>
      </c>
      <c r="E362" s="18" t="n">
        <v>71</v>
      </c>
      <c r="F362" s="18" t="n">
        <v>1.5</v>
      </c>
      <c r="G362" s="18" t="inlineStr">
        <is>
          <t>Sedang</t>
        </is>
      </c>
    </row>
    <row r="363">
      <c r="A363" s="30" t="n">
        <v>46019</v>
      </c>
      <c r="B363" s="20" t="inlineStr">
        <is>
          <t>Parepare</t>
        </is>
      </c>
      <c r="C363" s="20" t="n">
        <v>11.1</v>
      </c>
      <c r="D363" s="20" t="n">
        <v>25.7</v>
      </c>
      <c r="E363" s="20" t="n">
        <v>73</v>
      </c>
      <c r="F363" s="20" t="n">
        <v>2.9</v>
      </c>
      <c r="G363" s="20" t="inlineStr">
        <is>
          <t>Sedang</t>
        </is>
      </c>
    </row>
    <row r="364">
      <c r="A364" s="29" t="n">
        <v>46020</v>
      </c>
      <c r="B364" s="18" t="inlineStr">
        <is>
          <t>Parepare</t>
        </is>
      </c>
      <c r="C364" s="18" t="n">
        <v>34.7</v>
      </c>
      <c r="D364" s="18" t="n">
        <v>27.7</v>
      </c>
      <c r="E364" s="18" t="n">
        <v>82</v>
      </c>
      <c r="F364" s="18" t="n">
        <v>2.2</v>
      </c>
      <c r="G364" s="18" t="inlineStr">
        <is>
          <t>Lebat</t>
        </is>
      </c>
    </row>
    <row r="365">
      <c r="A365" s="30" t="n">
        <v>46021</v>
      </c>
      <c r="B365" s="20" t="inlineStr">
        <is>
          <t>Parepare</t>
        </is>
      </c>
      <c r="C365" s="20" t="n">
        <v>1.3</v>
      </c>
      <c r="D365" s="20" t="n">
        <v>26.4</v>
      </c>
      <c r="E365" s="20" t="n">
        <v>88</v>
      </c>
      <c r="F365" s="20" t="n">
        <v>2.7</v>
      </c>
      <c r="G365" s="20" t="inlineStr">
        <is>
          <t>Ringan</t>
        </is>
      </c>
    </row>
    <row r="366">
      <c r="A366" s="29" t="n">
        <v>46022</v>
      </c>
      <c r="B366" s="18" t="inlineStr">
        <is>
          <t>Parepare</t>
        </is>
      </c>
      <c r="C366" s="18" t="n">
        <v>0</v>
      </c>
      <c r="D366" s="18" t="n">
        <v>28.4</v>
      </c>
      <c r="E366" s="18" t="n">
        <v>78</v>
      </c>
      <c r="F366" s="18" t="n">
        <v>2.5</v>
      </c>
      <c r="G366" s="18" t="inlineStr">
        <is>
          <t>Tidak hujan</t>
        </is>
      </c>
    </row>
  </sheetData>
  <autoFilter ref="A1:G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3" customWidth="1" min="3" max="3"/>
    <col width="29" customWidth="1" min="4" max="4"/>
    <col width="16" customWidth="1" min="5" max="5"/>
    <col width="27" customWidth="1" min="6" max="6"/>
  </cols>
  <sheetData>
    <row r="1" ht="36" customHeight="1">
      <c r="A1" s="21" t="inlineStr">
        <is>
          <t>Bulan</t>
        </is>
      </c>
      <c r="B1" s="21" t="inlineStr">
        <is>
          <t>Total Curah Hujan (mm)</t>
        </is>
      </c>
      <c r="C1" s="21" t="inlineStr">
        <is>
          <t>Rata-rata Suhu (°C)</t>
        </is>
      </c>
      <c r="D1" s="21" t="inlineStr">
        <is>
          <t>Rata-rata Kelembapan (%)</t>
        </is>
      </c>
      <c r="E1" s="21" t="inlineStr">
        <is>
          <t>Hari Hujan</t>
        </is>
      </c>
      <c r="F1" s="21" t="inlineStr">
        <is>
          <t>Curah Hujan Maksimum (mm)</t>
        </is>
      </c>
    </row>
    <row r="2">
      <c r="A2" s="9" t="inlineStr">
        <is>
          <t>Jan</t>
        </is>
      </c>
      <c r="B2" s="24">
        <f>SUMIFS(Data!$C$2:$C$366,Data!$A$2:$A$366,"&gt;="&amp;DATE(2025,1,1),Data!$A$2:$A$366,"&lt;"&amp;EDATE(DATE(2025,1,1),1))</f>
        <v/>
      </c>
      <c r="C2" s="25">
        <f>AVERAGEIFS(Data!$D$2:$D$366,Data!$A$2:$A$366,"&gt;="&amp;DATE(2025,1,1),Data!$A$2:$A$366,"&lt;"&amp;EDATE(DATE(2025,1,1),1))</f>
        <v/>
      </c>
      <c r="D2" s="25">
        <f>AVERAGEIFS(Data!$E$2:$E$366,Data!$A$2:$A$366,"&gt;="&amp;DATE(2025,1,1),Data!$A$2:$A$366,"&lt;"&amp;EDATE(DATE(2025,1,1),1))</f>
        <v/>
      </c>
      <c r="E2" s="9">
        <f>COUNTIFS(Data!$A$2:$A$366,"&gt;="&amp;DATE(2025,1,1),Data!$A$2:$A$366,"&lt;"&amp;EDATE(DATE(2025,1,1),1),Data!$C$2:$C$366,"&gt;0")</f>
        <v/>
      </c>
      <c r="F2" s="25" t="n">
        <v>56.4</v>
      </c>
    </row>
    <row r="3">
      <c r="A3" s="12" t="inlineStr">
        <is>
          <t>Feb</t>
        </is>
      </c>
      <c r="B3" s="26">
        <f>SUMIFS(Data!$C$2:$C$366,Data!$A$2:$A$366,"&gt;="&amp;DATE(2025,2,1),Data!$A$2:$A$366,"&lt;"&amp;EDATE(DATE(2025,2,1),1))</f>
        <v/>
      </c>
      <c r="C3" s="27">
        <f>AVERAGEIFS(Data!$D$2:$D$366,Data!$A$2:$A$366,"&gt;="&amp;DATE(2025,2,1),Data!$A$2:$A$366,"&lt;"&amp;EDATE(DATE(2025,2,1),1))</f>
        <v/>
      </c>
      <c r="D3" s="27">
        <f>AVERAGEIFS(Data!$E$2:$E$366,Data!$A$2:$A$366,"&gt;="&amp;DATE(2025,2,1),Data!$A$2:$A$366,"&lt;"&amp;EDATE(DATE(2025,2,1),1))</f>
        <v/>
      </c>
      <c r="E3" s="12">
        <f>COUNTIFS(Data!$A$2:$A$366,"&gt;="&amp;DATE(2025,2,1),Data!$A$2:$A$366,"&lt;"&amp;EDATE(DATE(2025,2,1),1),Data!$C$2:$C$366,"&gt;0")</f>
        <v/>
      </c>
      <c r="F3" s="27" t="n">
        <v>71.5</v>
      </c>
    </row>
    <row r="4">
      <c r="A4" s="9" t="inlineStr">
        <is>
          <t>Mar</t>
        </is>
      </c>
      <c r="B4" s="24">
        <f>SUMIFS(Data!$C$2:$C$366,Data!$A$2:$A$366,"&gt;="&amp;DATE(2025,3,1),Data!$A$2:$A$366,"&lt;"&amp;EDATE(DATE(2025,3,1),1))</f>
        <v/>
      </c>
      <c r="C4" s="25">
        <f>AVERAGEIFS(Data!$D$2:$D$366,Data!$A$2:$A$366,"&gt;="&amp;DATE(2025,3,1),Data!$A$2:$A$366,"&lt;"&amp;EDATE(DATE(2025,3,1),1))</f>
        <v/>
      </c>
      <c r="D4" s="25">
        <f>AVERAGEIFS(Data!$E$2:$E$366,Data!$A$2:$A$366,"&gt;="&amp;DATE(2025,3,1),Data!$A$2:$A$366,"&lt;"&amp;EDATE(DATE(2025,3,1),1))</f>
        <v/>
      </c>
      <c r="E4" s="9">
        <f>COUNTIFS(Data!$A$2:$A$366,"&gt;="&amp;DATE(2025,3,1),Data!$A$2:$A$366,"&lt;"&amp;EDATE(DATE(2025,3,1),1),Data!$C$2:$C$366,"&gt;0")</f>
        <v/>
      </c>
      <c r="F4" s="25" t="n">
        <v>81.90000000000001</v>
      </c>
    </row>
    <row r="5">
      <c r="A5" s="12" t="inlineStr">
        <is>
          <t>Apr</t>
        </is>
      </c>
      <c r="B5" s="26">
        <f>SUMIFS(Data!$C$2:$C$366,Data!$A$2:$A$366,"&gt;="&amp;DATE(2025,4,1),Data!$A$2:$A$366,"&lt;"&amp;EDATE(DATE(2025,4,1),1))</f>
        <v/>
      </c>
      <c r="C5" s="27">
        <f>AVERAGEIFS(Data!$D$2:$D$366,Data!$A$2:$A$366,"&gt;="&amp;DATE(2025,4,1),Data!$A$2:$A$366,"&lt;"&amp;EDATE(DATE(2025,4,1),1))</f>
        <v/>
      </c>
      <c r="D5" s="27">
        <f>AVERAGEIFS(Data!$E$2:$E$366,Data!$A$2:$A$366,"&gt;="&amp;DATE(2025,4,1),Data!$A$2:$A$366,"&lt;"&amp;EDATE(DATE(2025,4,1),1))</f>
        <v/>
      </c>
      <c r="E5" s="12">
        <f>COUNTIFS(Data!$A$2:$A$366,"&gt;="&amp;DATE(2025,4,1),Data!$A$2:$A$366,"&lt;"&amp;EDATE(DATE(2025,4,1),1),Data!$C$2:$C$366,"&gt;0")</f>
        <v/>
      </c>
      <c r="F5" s="27" t="n">
        <v>33.2</v>
      </c>
    </row>
    <row r="6">
      <c r="A6" s="9" t="inlineStr">
        <is>
          <t>Mei</t>
        </is>
      </c>
      <c r="B6" s="24">
        <f>SUMIFS(Data!$C$2:$C$366,Data!$A$2:$A$366,"&gt;="&amp;DATE(2025,5,1),Data!$A$2:$A$366,"&lt;"&amp;EDATE(DATE(2025,5,1),1))</f>
        <v/>
      </c>
      <c r="C6" s="25">
        <f>AVERAGEIFS(Data!$D$2:$D$366,Data!$A$2:$A$366,"&gt;="&amp;DATE(2025,5,1),Data!$A$2:$A$366,"&lt;"&amp;EDATE(DATE(2025,5,1),1))</f>
        <v/>
      </c>
      <c r="D6" s="25">
        <f>AVERAGEIFS(Data!$E$2:$E$366,Data!$A$2:$A$366,"&gt;="&amp;DATE(2025,5,1),Data!$A$2:$A$366,"&lt;"&amp;EDATE(DATE(2025,5,1),1))</f>
        <v/>
      </c>
      <c r="E6" s="9">
        <f>COUNTIFS(Data!$A$2:$A$366,"&gt;="&amp;DATE(2025,5,1),Data!$A$2:$A$366,"&lt;"&amp;EDATE(DATE(2025,5,1),1),Data!$C$2:$C$366,"&gt;0")</f>
        <v/>
      </c>
      <c r="F6" s="25" t="n">
        <v>31.9</v>
      </c>
    </row>
    <row r="7">
      <c r="A7" s="12" t="inlineStr">
        <is>
          <t>Jun</t>
        </is>
      </c>
      <c r="B7" s="26">
        <f>SUMIFS(Data!$C$2:$C$366,Data!$A$2:$A$366,"&gt;="&amp;DATE(2025,6,1),Data!$A$2:$A$366,"&lt;"&amp;EDATE(DATE(2025,6,1),1))</f>
        <v/>
      </c>
      <c r="C7" s="27">
        <f>AVERAGEIFS(Data!$D$2:$D$366,Data!$A$2:$A$366,"&gt;="&amp;DATE(2025,6,1),Data!$A$2:$A$366,"&lt;"&amp;EDATE(DATE(2025,6,1),1))</f>
        <v/>
      </c>
      <c r="D7" s="27">
        <f>AVERAGEIFS(Data!$E$2:$E$366,Data!$A$2:$A$366,"&gt;="&amp;DATE(2025,6,1),Data!$A$2:$A$366,"&lt;"&amp;EDATE(DATE(2025,6,1),1))</f>
        <v/>
      </c>
      <c r="E7" s="12">
        <f>COUNTIFS(Data!$A$2:$A$366,"&gt;="&amp;DATE(2025,6,1),Data!$A$2:$A$366,"&lt;"&amp;EDATE(DATE(2025,6,1),1),Data!$C$2:$C$366,"&gt;0")</f>
        <v/>
      </c>
      <c r="F7" s="27" t="n">
        <v>17.1</v>
      </c>
    </row>
    <row r="8">
      <c r="A8" s="9" t="inlineStr">
        <is>
          <t>Jul</t>
        </is>
      </c>
      <c r="B8" s="24">
        <f>SUMIFS(Data!$C$2:$C$366,Data!$A$2:$A$366,"&gt;="&amp;DATE(2025,7,1),Data!$A$2:$A$366,"&lt;"&amp;EDATE(DATE(2025,7,1),1))</f>
        <v/>
      </c>
      <c r="C8" s="25">
        <f>AVERAGEIFS(Data!$D$2:$D$366,Data!$A$2:$A$366,"&gt;="&amp;DATE(2025,7,1),Data!$A$2:$A$366,"&lt;"&amp;EDATE(DATE(2025,7,1),1))</f>
        <v/>
      </c>
      <c r="D8" s="25">
        <f>AVERAGEIFS(Data!$E$2:$E$366,Data!$A$2:$A$366,"&gt;="&amp;DATE(2025,7,1),Data!$A$2:$A$366,"&lt;"&amp;EDATE(DATE(2025,7,1),1))</f>
        <v/>
      </c>
      <c r="E8" s="9">
        <f>COUNTIFS(Data!$A$2:$A$366,"&gt;="&amp;DATE(2025,7,1),Data!$A$2:$A$366,"&lt;"&amp;EDATE(DATE(2025,7,1),1),Data!$C$2:$C$366,"&gt;0")</f>
        <v/>
      </c>
      <c r="F8" s="25" t="n">
        <v>22.9</v>
      </c>
    </row>
    <row r="9">
      <c r="A9" s="12" t="inlineStr">
        <is>
          <t>Agu</t>
        </is>
      </c>
      <c r="B9" s="26">
        <f>SUMIFS(Data!$C$2:$C$366,Data!$A$2:$A$366,"&gt;="&amp;DATE(2025,8,1),Data!$A$2:$A$366,"&lt;"&amp;EDATE(DATE(2025,8,1),1))</f>
        <v/>
      </c>
      <c r="C9" s="27">
        <f>AVERAGEIFS(Data!$D$2:$D$366,Data!$A$2:$A$366,"&gt;="&amp;DATE(2025,8,1),Data!$A$2:$A$366,"&lt;"&amp;EDATE(DATE(2025,8,1),1))</f>
        <v/>
      </c>
      <c r="D9" s="27">
        <f>AVERAGEIFS(Data!$E$2:$E$366,Data!$A$2:$A$366,"&gt;="&amp;DATE(2025,8,1),Data!$A$2:$A$366,"&lt;"&amp;EDATE(DATE(2025,8,1),1))</f>
        <v/>
      </c>
      <c r="E9" s="12">
        <f>COUNTIFS(Data!$A$2:$A$366,"&gt;="&amp;DATE(2025,8,1),Data!$A$2:$A$366,"&lt;"&amp;EDATE(DATE(2025,8,1),1),Data!$C$2:$C$366,"&gt;0")</f>
        <v/>
      </c>
      <c r="F9" s="27" t="n">
        <v>21.7</v>
      </c>
    </row>
    <row r="10">
      <c r="A10" s="9" t="inlineStr">
        <is>
          <t>Sep</t>
        </is>
      </c>
      <c r="B10" s="24">
        <f>SUMIFS(Data!$C$2:$C$366,Data!$A$2:$A$366,"&gt;="&amp;DATE(2025,9,1),Data!$A$2:$A$366,"&lt;"&amp;EDATE(DATE(2025,9,1),1))</f>
        <v/>
      </c>
      <c r="C10" s="25">
        <f>AVERAGEIFS(Data!$D$2:$D$366,Data!$A$2:$A$366,"&gt;="&amp;DATE(2025,9,1),Data!$A$2:$A$366,"&lt;"&amp;EDATE(DATE(2025,9,1),1))</f>
        <v/>
      </c>
      <c r="D10" s="25">
        <f>AVERAGEIFS(Data!$E$2:$E$366,Data!$A$2:$A$366,"&gt;="&amp;DATE(2025,9,1),Data!$A$2:$A$366,"&lt;"&amp;EDATE(DATE(2025,9,1),1))</f>
        <v/>
      </c>
      <c r="E10" s="9">
        <f>COUNTIFS(Data!$A$2:$A$366,"&gt;="&amp;DATE(2025,9,1),Data!$A$2:$A$366,"&lt;"&amp;EDATE(DATE(2025,9,1),1),Data!$C$2:$C$366,"&gt;0")</f>
        <v/>
      </c>
      <c r="F10" s="25" t="n">
        <v>65.3</v>
      </c>
    </row>
    <row r="11">
      <c r="A11" s="12" t="inlineStr">
        <is>
          <t>Okt</t>
        </is>
      </c>
      <c r="B11" s="26">
        <f>SUMIFS(Data!$C$2:$C$366,Data!$A$2:$A$366,"&gt;="&amp;DATE(2025,10,1),Data!$A$2:$A$366,"&lt;"&amp;EDATE(DATE(2025,10,1),1))</f>
        <v/>
      </c>
      <c r="C11" s="27">
        <f>AVERAGEIFS(Data!$D$2:$D$366,Data!$A$2:$A$366,"&gt;="&amp;DATE(2025,10,1),Data!$A$2:$A$366,"&lt;"&amp;EDATE(DATE(2025,10,1),1))</f>
        <v/>
      </c>
      <c r="D11" s="27">
        <f>AVERAGEIFS(Data!$E$2:$E$366,Data!$A$2:$A$366,"&gt;="&amp;DATE(2025,10,1),Data!$A$2:$A$366,"&lt;"&amp;EDATE(DATE(2025,10,1),1))</f>
        <v/>
      </c>
      <c r="E11" s="12">
        <f>COUNTIFS(Data!$A$2:$A$366,"&gt;="&amp;DATE(2025,10,1),Data!$A$2:$A$366,"&lt;"&amp;EDATE(DATE(2025,10,1),1),Data!$C$2:$C$366,"&gt;0")</f>
        <v/>
      </c>
      <c r="F11" s="27" t="n">
        <v>39.8</v>
      </c>
    </row>
    <row r="12">
      <c r="A12" s="9" t="inlineStr">
        <is>
          <t>Nov</t>
        </is>
      </c>
      <c r="B12" s="24">
        <f>SUMIFS(Data!$C$2:$C$366,Data!$A$2:$A$366,"&gt;="&amp;DATE(2025,11,1),Data!$A$2:$A$366,"&lt;"&amp;EDATE(DATE(2025,11,1),1))</f>
        <v/>
      </c>
      <c r="C12" s="25">
        <f>AVERAGEIFS(Data!$D$2:$D$366,Data!$A$2:$A$366,"&gt;="&amp;DATE(2025,11,1),Data!$A$2:$A$366,"&lt;"&amp;EDATE(DATE(2025,11,1),1))</f>
        <v/>
      </c>
      <c r="D12" s="25">
        <f>AVERAGEIFS(Data!$E$2:$E$366,Data!$A$2:$A$366,"&gt;="&amp;DATE(2025,11,1),Data!$A$2:$A$366,"&lt;"&amp;EDATE(DATE(2025,11,1),1))</f>
        <v/>
      </c>
      <c r="E12" s="9">
        <f>COUNTIFS(Data!$A$2:$A$366,"&gt;="&amp;DATE(2025,11,1),Data!$A$2:$A$366,"&lt;"&amp;EDATE(DATE(2025,11,1),1),Data!$C$2:$C$366,"&gt;0")</f>
        <v/>
      </c>
      <c r="F12" s="25" t="n">
        <v>45.9</v>
      </c>
    </row>
    <row r="13">
      <c r="A13" s="12" t="inlineStr">
        <is>
          <t>Des</t>
        </is>
      </c>
      <c r="B13" s="26">
        <f>SUMIFS(Data!$C$2:$C$366,Data!$A$2:$A$366,"&gt;="&amp;DATE(2025,12,1),Data!$A$2:$A$366,"&lt;"&amp;EDATE(DATE(2025,12,1),1))</f>
        <v/>
      </c>
      <c r="C13" s="27">
        <f>AVERAGEIFS(Data!$D$2:$D$366,Data!$A$2:$A$366,"&gt;="&amp;DATE(2025,12,1),Data!$A$2:$A$366,"&lt;"&amp;EDATE(DATE(2025,12,1),1))</f>
        <v/>
      </c>
      <c r="D13" s="27">
        <f>AVERAGEIFS(Data!$E$2:$E$366,Data!$A$2:$A$366,"&gt;="&amp;DATE(2025,12,1),Data!$A$2:$A$366,"&lt;"&amp;EDATE(DATE(2025,12,1),1))</f>
        <v/>
      </c>
      <c r="E13" s="12">
        <f>COUNTIFS(Data!$A$2:$A$366,"&gt;="&amp;DATE(2025,12,1),Data!$A$2:$A$366,"&lt;"&amp;EDATE(DATE(2025,12,1),1),Data!$C$2:$C$366,"&gt;0")</f>
        <v/>
      </c>
      <c r="F13" s="27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2026-10-28T04:52:15Z</dcterms:created>
  <dcterms:modified xmlns:dcterms="http://purl.org/dc/terms/" xmlns:xsi="http://www.w3.org/2001/XMLSchema-instance" xsi:type="dcterms:W3CDTF">2026-10-28T05:02:58Z</dcterms:modified>
</cp:coreProperties>
</file>